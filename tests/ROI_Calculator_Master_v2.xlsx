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otprynt.sharepoint.com/sites/ESGConnector-PartnershipsSales/Freigegebene Dokumente/Sales/"/>
    </mc:Choice>
  </mc:AlternateContent>
  <xr:revisionPtr revIDLastSave="997" documentId="8_{F8A963AE-623F-4A79-BE7B-3543CD4C7C02}" xr6:coauthVersionLast="47" xr6:coauthVersionMax="47" xr10:uidLastSave="{C41FCCCE-7940-43C2-B4A8-33D44AEAF7E4}"/>
  <bookViews>
    <workbookView xWindow="-120" yWindow="-16320" windowWidth="29040" windowHeight="15720" activeTab="2" xr2:uid="{00000000-000D-0000-FFFF-FFFF00000000}"/>
  </bookViews>
  <sheets>
    <sheet name="Start" sheetId="7" r:id="rId1"/>
    <sheet name="Inputs" sheetId="8" r:id="rId2"/>
    <sheet name="Activities" sheetId="9" r:id="rId3"/>
    <sheet name="Results" sheetId="10" r:id="rId4"/>
    <sheet name="Calculations" sheetId="1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11" l="1"/>
  <c r="D96" i="11"/>
  <c r="C42" i="10"/>
  <c r="D42" i="10"/>
  <c r="E42" i="10"/>
  <c r="C43" i="10"/>
  <c r="D43" i="10"/>
  <c r="E43" i="10"/>
  <c r="C44" i="10"/>
  <c r="D44" i="10"/>
  <c r="E44" i="10"/>
  <c r="C21" i="10"/>
  <c r="D21" i="10"/>
  <c r="E21" i="10"/>
  <c r="C22" i="10"/>
  <c r="D22" i="10"/>
  <c r="E22" i="10"/>
  <c r="C23" i="10"/>
  <c r="E23" i="10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C14" i="10"/>
  <c r="D14" i="10"/>
  <c r="B3" i="10"/>
  <c r="B2" i="10"/>
  <c r="K11" i="9"/>
  <c r="K23" i="9"/>
  <c r="K24" i="9"/>
  <c r="F7" i="9"/>
  <c r="F8" i="9"/>
  <c r="F9" i="9"/>
  <c r="F12" i="9"/>
  <c r="F13" i="9"/>
  <c r="F16" i="9"/>
  <c r="F17" i="9"/>
  <c r="F18" i="9"/>
  <c r="F19" i="9"/>
  <c r="F24" i="9"/>
  <c r="M25" i="9"/>
  <c r="L24" i="9"/>
  <c r="N24" i="9"/>
  <c r="D47" i="8"/>
  <c r="D48" i="8"/>
  <c r="D49" i="8"/>
  <c r="C43" i="8"/>
  <c r="E38" i="8"/>
  <c r="E39" i="8"/>
  <c r="E40" i="8"/>
  <c r="E41" i="8"/>
  <c r="G30" i="8"/>
  <c r="G31" i="8"/>
  <c r="U8" i="9" s="1"/>
  <c r="G32" i="8"/>
  <c r="U11" i="9" s="1"/>
  <c r="G33" i="8"/>
  <c r="U21" i="9" s="1"/>
  <c r="G34" i="8"/>
  <c r="U19" i="9" s="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C116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E33" i="11"/>
  <c r="I13" i="11"/>
  <c r="F14" i="11"/>
  <c r="F15" i="11"/>
  <c r="F16" i="11"/>
  <c r="F17" i="11"/>
  <c r="F18" i="11"/>
  <c r="F19" i="11"/>
  <c r="K20" i="9" s="1"/>
  <c r="F20" i="11"/>
  <c r="K21" i="9" s="1"/>
  <c r="F21" i="11"/>
  <c r="K22" i="9" s="1"/>
  <c r="F22" i="11"/>
  <c r="K17" i="9" s="1"/>
  <c r="L17" i="9" s="1"/>
  <c r="N17" i="9" s="1"/>
  <c r="C109" i="11" s="1"/>
  <c r="C14" i="11"/>
  <c r="C15" i="11"/>
  <c r="C16" i="11"/>
  <c r="F22" i="9" s="1"/>
  <c r="C17" i="11"/>
  <c r="C18" i="11"/>
  <c r="F23" i="9" s="1"/>
  <c r="E43" i="8" l="1"/>
  <c r="U13" i="9"/>
  <c r="U20" i="9"/>
  <c r="U23" i="9"/>
  <c r="D50" i="8"/>
  <c r="U15" i="9"/>
  <c r="U14" i="9"/>
  <c r="U9" i="9"/>
  <c r="U7" i="9"/>
  <c r="U12" i="9"/>
  <c r="U22" i="9"/>
  <c r="U18" i="9"/>
  <c r="U24" i="9"/>
  <c r="U17" i="9"/>
  <c r="U16" i="9"/>
  <c r="U10" i="9"/>
  <c r="R16" i="9" a="1"/>
  <c r="R9" i="9" a="1"/>
  <c r="R7" i="9" a="1"/>
  <c r="R20" i="9" a="1"/>
  <c r="R21" i="9" a="1"/>
  <c r="R22" i="9" a="1"/>
  <c r="R8" i="9" a="1"/>
  <c r="R10" i="9" a="1"/>
  <c r="R13" i="9" a="1"/>
  <c r="R24" i="9" a="1"/>
  <c r="R17" i="9" a="1"/>
  <c r="R18" i="9" a="1"/>
  <c r="R11" i="9" a="1"/>
  <c r="R15" i="9" a="1"/>
  <c r="R14" i="9" a="1"/>
  <c r="R19" i="9" a="1"/>
  <c r="R23" i="9" a="1"/>
  <c r="R12" i="9" a="1"/>
  <c r="K7" i="9"/>
  <c r="L7" i="9" s="1"/>
  <c r="N7" i="9" s="1"/>
  <c r="K9" i="9"/>
  <c r="L9" i="9" s="1"/>
  <c r="N9" i="9" s="1"/>
  <c r="C101" i="11" s="1"/>
  <c r="K12" i="9"/>
  <c r="L12" i="9" s="1"/>
  <c r="N12" i="9" s="1"/>
  <c r="C104" i="11" s="1"/>
  <c r="K13" i="9"/>
  <c r="L13" i="9" s="1"/>
  <c r="N13" i="9" s="1"/>
  <c r="K8" i="9"/>
  <c r="K10" i="9"/>
  <c r="K18" i="9"/>
  <c r="L18" i="9" s="1"/>
  <c r="N18" i="9" s="1"/>
  <c r="C110" i="11" s="1"/>
  <c r="K14" i="9"/>
  <c r="K19" i="9"/>
  <c r="L19" i="9" s="1"/>
  <c r="N19" i="9" s="1"/>
  <c r="C111" i="11" s="1"/>
  <c r="K16" i="9"/>
  <c r="L16" i="9" s="1"/>
  <c r="N16" i="9" s="1"/>
  <c r="C108" i="11" s="1"/>
  <c r="K15" i="9"/>
  <c r="F11" i="9"/>
  <c r="L11" i="9" s="1"/>
  <c r="N11" i="9" s="1"/>
  <c r="F10" i="9"/>
  <c r="F14" i="9"/>
  <c r="F15" i="9"/>
  <c r="N22" i="9"/>
  <c r="L22" i="9"/>
  <c r="F21" i="9"/>
  <c r="F20" i="9"/>
  <c r="L23" i="9"/>
  <c r="N23" i="9" s="1"/>
  <c r="S24" i="9"/>
  <c r="S19" i="9"/>
  <c r="C13" i="10"/>
  <c r="E34" i="11"/>
  <c r="E35" i="11" s="1"/>
  <c r="E32" i="10" s="1"/>
  <c r="D34" i="11"/>
  <c r="C34" i="11"/>
  <c r="C103" i="11"/>
  <c r="S11" i="9"/>
  <c r="D103" i="11" s="1"/>
  <c r="T11" i="9"/>
  <c r="V11" i="9" s="1"/>
  <c r="S12" i="9"/>
  <c r="S16" i="9"/>
  <c r="S17" i="9"/>
  <c r="S18" i="9"/>
  <c r="D111" i="11"/>
  <c r="T19" i="9"/>
  <c r="V19" i="9" s="1"/>
  <c r="L8" i="9"/>
  <c r="N8" i="9" s="1"/>
  <c r="C33" i="11"/>
  <c r="C35" i="11" s="1"/>
  <c r="C32" i="10" s="1"/>
  <c r="D33" i="11"/>
  <c r="D35" i="11" s="1"/>
  <c r="D32" i="10" s="1"/>
  <c r="F28" i="11"/>
  <c r="F33" i="11" a="1"/>
  <c r="F34" i="11" a="1"/>
  <c r="F35" i="11" a="1"/>
  <c r="C99" i="11" l="1"/>
  <c r="S7" i="9"/>
  <c r="D99" i="11" s="1"/>
  <c r="T7" i="9"/>
  <c r="C105" i="11"/>
  <c r="S13" i="9"/>
  <c r="D108" i="11"/>
  <c r="T16" i="9"/>
  <c r="V16" i="9" s="1"/>
  <c r="D109" i="11"/>
  <c r="T17" i="9"/>
  <c r="V17" i="9" s="1"/>
  <c r="D51" i="8"/>
  <c r="L10" i="9"/>
  <c r="N10" i="9" s="1"/>
  <c r="L14" i="9"/>
  <c r="N14" i="9" s="1"/>
  <c r="L15" i="9"/>
  <c r="N15" i="9" s="1"/>
  <c r="S22" i="9"/>
  <c r="C114" i="11"/>
  <c r="L21" i="9"/>
  <c r="N21" i="9" s="1"/>
  <c r="L20" i="9"/>
  <c r="N20" i="9" s="1"/>
  <c r="S9" i="9"/>
  <c r="S23" i="9"/>
  <c r="C115" i="11"/>
  <c r="D104" i="11"/>
  <c r="T12" i="9"/>
  <c r="V12" i="9" s="1"/>
  <c r="T24" i="9"/>
  <c r="V24" i="9" s="1"/>
  <c r="D116" i="11"/>
  <c r="D105" i="11"/>
  <c r="T13" i="9"/>
  <c r="V13" i="9" s="1"/>
  <c r="D110" i="11"/>
  <c r="T18" i="9"/>
  <c r="V18" i="9" s="1"/>
  <c r="D13" i="10"/>
  <c r="V7" i="9"/>
  <c r="C100" i="11"/>
  <c r="S8" i="9"/>
  <c r="C37" i="11" l="1"/>
  <c r="C46" i="11" s="1"/>
  <c r="D37" i="11"/>
  <c r="E37" i="11"/>
  <c r="E46" i="11" s="1"/>
  <c r="N25" i="9"/>
  <c r="S10" i="9"/>
  <c r="C102" i="11"/>
  <c r="S14" i="9"/>
  <c r="C106" i="11"/>
  <c r="S15" i="9"/>
  <c r="C107" i="11"/>
  <c r="D114" i="11"/>
  <c r="T22" i="9"/>
  <c r="V22" i="9" s="1"/>
  <c r="S21" i="9"/>
  <c r="C113" i="11"/>
  <c r="S20" i="9"/>
  <c r="C112" i="11"/>
  <c r="T9" i="9"/>
  <c r="V9" i="9" s="1"/>
  <c r="D101" i="11"/>
  <c r="L25" i="9"/>
  <c r="D32" i="11"/>
  <c r="D31" i="10" s="1"/>
  <c r="C30" i="11"/>
  <c r="C30" i="10" s="1"/>
  <c r="C31" i="11"/>
  <c r="E32" i="11"/>
  <c r="C32" i="11"/>
  <c r="C31" i="10" s="1"/>
  <c r="C29" i="11"/>
  <c r="D29" i="11"/>
  <c r="F29" i="11" s="1" a="1"/>
  <c r="E29" i="11"/>
  <c r="E30" i="11"/>
  <c r="E30" i="10" s="1"/>
  <c r="D31" i="11"/>
  <c r="E31" i="11"/>
  <c r="D30" i="11"/>
  <c r="T10" i="9"/>
  <c r="V10" i="9" s="1"/>
  <c r="D115" i="11"/>
  <c r="T23" i="9"/>
  <c r="V23" i="9" s="1"/>
  <c r="F30" i="11" a="1"/>
  <c r="B7" i="10" s="1"/>
  <c r="E54" i="11"/>
  <c r="E36" i="11"/>
  <c r="E33" i="10" s="1"/>
  <c r="D38" i="11"/>
  <c r="D36" i="11"/>
  <c r="F32" i="11" a="1"/>
  <c r="D54" i="11"/>
  <c r="C38" i="11"/>
  <c r="C34" i="10" s="1"/>
  <c r="C36" i="11"/>
  <c r="C33" i="10" s="1"/>
  <c r="C54" i="11"/>
  <c r="E41" i="11"/>
  <c r="E40" i="11"/>
  <c r="E39" i="11"/>
  <c r="E42" i="11" s="1"/>
  <c r="D41" i="11"/>
  <c r="D40" i="11"/>
  <c r="F40" i="11" s="1" a="1"/>
  <c r="D39" i="11"/>
  <c r="F31" i="11" a="1"/>
  <c r="C41" i="11"/>
  <c r="C40" i="11"/>
  <c r="C39" i="11"/>
  <c r="C42" i="11" s="1"/>
  <c r="E50" i="11"/>
  <c r="E49" i="11"/>
  <c r="C50" i="11"/>
  <c r="C49" i="11"/>
  <c r="D100" i="11"/>
  <c r="T8" i="9"/>
  <c r="E31" i="10" l="1"/>
  <c r="E38" i="11"/>
  <c r="E34" i="10" s="1"/>
  <c r="E27" i="10"/>
  <c r="C41" i="10"/>
  <c r="C45" i="10" s="1"/>
  <c r="F37" i="11" a="1"/>
  <c r="D46" i="11"/>
  <c r="F46" i="11" s="1" a="1"/>
  <c r="D102" i="11"/>
  <c r="S25" i="9"/>
  <c r="R25" i="9" s="1"/>
  <c r="D106" i="11"/>
  <c r="T14" i="9"/>
  <c r="V14" i="9" s="1"/>
  <c r="D107" i="11"/>
  <c r="T15" i="9"/>
  <c r="V15" i="9" s="1"/>
  <c r="D113" i="11"/>
  <c r="T21" i="9"/>
  <c r="V21" i="9" s="1"/>
  <c r="D112" i="11"/>
  <c r="T20" i="9"/>
  <c r="V20" i="9" s="1"/>
  <c r="D30" i="10"/>
  <c r="D49" i="11"/>
  <c r="F49" i="11" s="1" a="1"/>
  <c r="B8" i="10" s="1"/>
  <c r="D50" i="11"/>
  <c r="F50" i="11" s="1" a="1"/>
  <c r="D12" i="10"/>
  <c r="C12" i="10"/>
  <c r="C20" i="10" s="1"/>
  <c r="F38" i="11" a="1"/>
  <c r="D34" i="10"/>
  <c r="F36" i="11" a="1"/>
  <c r="C7" i="10" s="1"/>
  <c r="D33" i="10"/>
  <c r="C43" i="11"/>
  <c r="C44" i="11" s="1"/>
  <c r="C35" i="10" s="1"/>
  <c r="V8" i="9"/>
  <c r="V25" i="9" s="1"/>
  <c r="I15" i="11" s="1"/>
  <c r="T25" i="9"/>
  <c r="E55" i="11"/>
  <c r="D55" i="11"/>
  <c r="C55" i="11"/>
  <c r="D43" i="11"/>
  <c r="F43" i="11" s="1" a="1"/>
  <c r="F41" i="11" a="1"/>
  <c r="F39" i="11" a="1"/>
  <c r="D42" i="11"/>
  <c r="E43" i="11"/>
  <c r="E44" i="11" s="1"/>
  <c r="E35" i="10" s="1"/>
  <c r="D16" i="10" l="1"/>
  <c r="D20" i="10"/>
  <c r="D24" i="10" s="1"/>
  <c r="C24" i="10"/>
  <c r="E20" i="10"/>
  <c r="C15" i="10"/>
  <c r="C16" i="10" s="1"/>
  <c r="C47" i="11"/>
  <c r="C45" i="11"/>
  <c r="C36" i="10" s="1"/>
  <c r="D44" i="11"/>
  <c r="D35" i="10" s="1"/>
  <c r="F42" i="11" a="1"/>
  <c r="E47" i="11"/>
  <c r="E45" i="11"/>
  <c r="E36" i="10" s="1"/>
  <c r="E56" i="11"/>
  <c r="E57" i="11" s="1"/>
  <c r="D56" i="11"/>
  <c r="D57" i="11" s="1"/>
  <c r="D58" i="11" s="1"/>
  <c r="D59" i="11" s="1"/>
  <c r="D60" i="11" s="1"/>
  <c r="C56" i="11"/>
  <c r="D41" i="10" l="1"/>
  <c r="C94" i="11"/>
  <c r="E24" i="10"/>
  <c r="D61" i="1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48" i="11" a="1"/>
  <c r="E58" i="1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48" i="11" a="1"/>
  <c r="E37" i="10" s="1"/>
  <c r="C57" i="1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D47" i="11"/>
  <c r="F47" i="11" s="1" a="1"/>
  <c r="E26" i="10" s="1"/>
  <c r="F44" i="11" a="1"/>
  <c r="D45" i="11"/>
  <c r="D45" i="10" l="1"/>
  <c r="E45" i="10" s="1"/>
  <c r="E41" i="10"/>
  <c r="C86" i="11"/>
  <c r="C87" i="11" s="1"/>
  <c r="C88" i="11" s="1"/>
  <c r="C89" i="11" s="1"/>
  <c r="C48" i="11" a="1"/>
  <c r="C37" i="10" s="1"/>
  <c r="D37" i="10"/>
  <c r="F48" i="11" a="1"/>
  <c r="G7" i="10" s="1"/>
  <c r="F45" i="11" a="1"/>
  <c r="D36" i="10"/>
  <c r="E7" i="10" l="1"/>
  <c r="E2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<sst xmlns="http://schemas.openxmlformats.org/spreadsheetml/2006/main" count="429" uniqueCount="324">
  <si>
    <t>footprint-intelligence.com</t>
  </si>
  <si>
    <t>Yes</t>
  </si>
  <si>
    <t>No</t>
  </si>
  <si>
    <t>Calculations (do not edit) – drop-down lists, scenario engine and chart data</t>
  </si>
  <si>
    <t>All figures on this sheet are calculated from the Inputs and Activities sheets.</t>
  </si>
  <si>
    <t>Current approach</t>
  </si>
  <si>
    <t>Manual / Excel</t>
  </si>
  <si>
    <t>Other sustainability software</t>
  </si>
  <si>
    <t>Consultancy-led</t>
  </si>
  <si>
    <t>Combination</t>
  </si>
  <si>
    <t>Yes / No</t>
  </si>
  <si>
    <t>Scenario</t>
  </si>
  <si>
    <t>Conservative</t>
  </si>
  <si>
    <t>Expected</t>
  </si>
  <si>
    <t>Optimistic</t>
  </si>
  <si>
    <t>Rounds per year</t>
  </si>
  <si>
    <t>Module</t>
  </si>
  <si>
    <t>In scope</t>
  </si>
  <si>
    <t>Core</t>
  </si>
  <si>
    <t>Carbon accounting</t>
  </si>
  <si>
    <t>ESG reporting</t>
  </si>
  <si>
    <t>PCF</t>
  </si>
  <si>
    <t>Supply chain</t>
  </si>
  <si>
    <t>Decarbonization</t>
  </si>
  <si>
    <t>Driver</t>
  </si>
  <si>
    <t>Units</t>
  </si>
  <si>
    <t>Fixed</t>
  </si>
  <si>
    <t>Locations × rounds</t>
  </si>
  <si>
    <t>Entities × rounds</t>
  </si>
  <si>
    <t>Data providers × rounds</t>
  </si>
  <si>
    <t>Entities</t>
  </si>
  <si>
    <t>Frameworks</t>
  </si>
  <si>
    <t>Questionnaires</t>
  </si>
  <si>
    <t>Suppliers</t>
  </si>
  <si>
    <t>Products</t>
  </si>
  <si>
    <t>Rounds</t>
  </si>
  <si>
    <t>Selected scenario</t>
  </si>
  <si>
    <t>#</t>
  </si>
  <si>
    <t>Scenario number</t>
  </si>
  <si>
    <t>Scenario engine</t>
  </si>
  <si>
    <t>Metric</t>
  </si>
  <si>
    <t>Selected</t>
  </si>
  <si>
    <t>Scenario column</t>
  </si>
  <si>
    <t>Hours today (per year)</t>
  </si>
  <si>
    <t>Hours saved (steady state, per year)</t>
  </si>
  <si>
    <t>Internal staff cost today (€/yr)</t>
  </si>
  <si>
    <t>Capacity value released (steady state, €/yr)</t>
  </si>
  <si>
    <t>External costs today (€/yr)</t>
  </si>
  <si>
    <t>External costs with FI incl. subscription (€/yr)</t>
  </si>
  <si>
    <t>Net cash impact (€/yr)</t>
  </si>
  <si>
    <t>Recurring annual net benefit (€/yr)</t>
  </si>
  <si>
    <t>One-time transition costs (€)</t>
  </si>
  <si>
    <t>Year-1 net benefit (€)</t>
  </si>
  <si>
    <t>Current annual cost – internal + external (€/yr)</t>
  </si>
  <si>
    <t>Annual cost with FI – steady state (€/yr)</t>
  </si>
  <si>
    <t>Year-1 cost with FI (€)</t>
  </si>
  <si>
    <t>3-year cost – current approach (€)</t>
  </si>
  <si>
    <t>3-year cost – with FI (€)</t>
  </si>
  <si>
    <t>3-year net benefit (€)</t>
  </si>
  <si>
    <t>3-year ROI (%)</t>
  </si>
  <si>
    <t>3-year FI investment – subscription + one-time (€)</t>
  </si>
  <si>
    <t>3-year net benefit per €1 invested in FI</t>
  </si>
  <si>
    <t>Payback month</t>
  </si>
  <si>
    <t>Working days saved (8 h)</t>
  </si>
  <si>
    <t>FTE equivalent saved</t>
  </si>
  <si>
    <t>Monthly cumulative net benefit (for payback and chart)</t>
  </si>
  <si>
    <t>Month</t>
  </si>
  <si>
    <t>Year</t>
  </si>
  <si>
    <t>Chart data</t>
  </si>
  <si>
    <t>Today</t>
  </si>
  <si>
    <t>With Footprint Intelligence</t>
  </si>
  <si>
    <t>Footprint Intelligence subscription</t>
  </si>
  <si>
    <t>Activity</t>
  </si>
  <si>
    <t>Hours today</t>
  </si>
  <si>
    <t>Hours with FI</t>
  </si>
  <si>
    <t>Check: capacity value = Activities total</t>
  </si>
  <si>
    <t>Footprint Intelligence  |  ROI Calculator</t>
  </si>
  <si>
    <t>Step 1 of 3 – Inputs.  Enter your figures in the yellow cells; everything else is calculated. All defaults are typical values and can be changed.</t>
  </si>
  <si>
    <t>1   Company profile &amp; approach</t>
  </si>
  <si>
    <t>Company name</t>
  </si>
  <si>
    <t>Your company</t>
  </si>
  <si>
    <t>Shown on the Results page</t>
  </si>
  <si>
    <t>How sustainability data is managed today</t>
  </si>
  <si>
    <t>Share of FI savings already covered by your current tool</t>
  </si>
  <si>
    <t>0% for Manual / Excel. If you already use software, estimate how much of the automation it already provides (e.g. 30–50%). Avoids crediting FI for capabilities you already have.</t>
  </si>
  <si>
    <t>Data collection rounds per year</t>
  </si>
  <si>
    <t>1 = annual, 2 = semi-annual, 4 = quarterly, 12 = monthly</t>
  </si>
  <si>
    <t>Scenario shown in headline results</t>
  </si>
  <si>
    <t>Conservative / Expected / Optimistic – all three are compared on the Results page</t>
  </si>
  <si>
    <t>2   Complexity</t>
  </si>
  <si>
    <t>Legal entities in scope</t>
  </si>
  <si>
    <t>Companies / subsidiaries included in reporting</t>
  </si>
  <si>
    <t>Sites / locations</t>
  </si>
  <si>
    <t>Offices, plants, warehouses that deliver data</t>
  </si>
  <si>
    <t>Reporting frameworks &amp; standards</t>
  </si>
  <si>
    <t>e.g. GHG Protocol, CSRD / ESRS, VSME, CDP, EcoVadis, SBTi</t>
  </si>
  <si>
    <t>Customer &amp; supplier questionnaires answered per year</t>
  </si>
  <si>
    <t>Sustainability questionnaires, ratings and tender requests</t>
  </si>
  <si>
    <t>Key suppliers asked for data per year</t>
  </si>
  <si>
    <t>Suppliers asked for emissions or ESG data</t>
  </si>
  <si>
    <t>Products requiring a product carbon footprint (PCF) per year</t>
  </si>
  <si>
    <t>Only used if the PCF module is in scope</t>
  </si>
  <si>
    <t>3   Modules in scope</t>
  </si>
  <si>
    <t>Carbon accounting (corporate carbon footprint)</t>
  </si>
  <si>
    <t>ESG / CSRD reporting</t>
  </si>
  <si>
    <t>Product carbon footprints (PCF)</t>
  </si>
  <si>
    <t>Supply chain &amp; questionnaires</t>
  </si>
  <si>
    <t>Decarbonization planning</t>
  </si>
  <si>
    <t>Core data management and reporting activities are always included.</t>
  </si>
  <si>
    <t>4   People involved &amp; internal cost per hour</t>
  </si>
  <si>
    <t>Role</t>
  </si>
  <si>
    <t>People involved</t>
  </si>
  <si>
    <t>Avg. annual gross salary (€)</t>
  </si>
  <si>
    <t>Employer on-costs (%)</t>
  </si>
  <si>
    <t>Productive hours per person / year</t>
  </si>
  <si>
    <t>Fully loaded cost per hour (€)</t>
  </si>
  <si>
    <t>Typical tasks</t>
  </si>
  <si>
    <t>Sustainability team (full-time)</t>
  </si>
  <si>
    <t>Coordination, data preparation, calculation, reporting</t>
  </si>
  <si>
    <t>Data providers (sites, HR, facilities, fleet)</t>
  </si>
  <si>
    <t>Providing energy, travel, waste, HR and other source data</t>
  </si>
  <si>
    <t>Finance &amp; controlling</t>
  </si>
  <si>
    <t>Consolidation, reconciliation with financial data</t>
  </si>
  <si>
    <t>Procurement</t>
  </si>
  <si>
    <t>Supplier data requests and supplier engagement</t>
  </si>
  <si>
    <t>Management &amp; reviewers</t>
  </si>
  <si>
    <t>Reviews, approvals and sign-off</t>
  </si>
  <si>
    <t>5   Annual external costs</t>
  </si>
  <si>
    <t>Cost item</t>
  </si>
  <si>
    <t>Today (€ / year)</t>
  </si>
  <si>
    <t>Still needed with FI (%)</t>
  </si>
  <si>
    <t>With FI (€ / year)</t>
  </si>
  <si>
    <t>Note</t>
  </si>
  <si>
    <t>Current sustainability / ESG software licence(s)</t>
  </si>
  <si>
    <t>Emission factor databases &amp; data subscriptions</t>
  </si>
  <si>
    <t>Maintained factor databases are included in Footprint Intelligence</t>
  </si>
  <si>
    <t>External consultants (data, calculation, reporting)</t>
  </si>
  <si>
    <t>Share of consulting still needed for strategy or special topics</t>
  </si>
  <si>
    <t>Other external services (report design, translation, etc.)</t>
  </si>
  <si>
    <t>Footprint Intelligence annual subscription (as per your offer)</t>
  </si>
  <si>
    <t>Price according to your individual offer</t>
  </si>
  <si>
    <t>Total annual external costs</t>
  </si>
  <si>
    <t>6   One-time transition costs (year 1)</t>
  </si>
  <si>
    <t>Item</t>
  </si>
  <si>
    <t>Input</t>
  </si>
  <si>
    <t>Cost (€)</t>
  </si>
  <si>
    <t>One-time fee, if part of your offer</t>
  </si>
  <si>
    <t>External data migration / integration costs (€)</t>
  </si>
  <si>
    <t>e.g. ERP or API integration by your IT partner</t>
  </si>
  <si>
    <t>Months of parallel licence for current software</t>
  </si>
  <si>
    <t>Contract overlap while switching</t>
  </si>
  <si>
    <t>Internal onboarding &amp; training effort (hours)</t>
  </si>
  <si>
    <t>Valued at the sustainability team's cost per hour</t>
  </si>
  <si>
    <t>Total one-time transition costs</t>
  </si>
  <si>
    <t>7   Ramp-up</t>
  </si>
  <si>
    <t>Share of steady-state time savings achieved in year 1</t>
  </si>
  <si>
    <t>Year 1 includes setup and learning. Reusable mappings and configured imports deliver full savings from year 2.</t>
  </si>
  <si>
    <t>–</t>
  </si>
  <si>
    <t>Step 2 of 3 – Activities.  Hours today are benchmarks driven by your inputs. Overwrite them in the yellow 'Your estimate' column, and adjust who does the work and the expected reduction if needed.</t>
  </si>
  <si>
    <t>Expected time reduction with FI</t>
  </si>
  <si>
    <t>How Footprint Intelligence helps</t>
  </si>
  <si>
    <t>In scope?</t>
  </si>
  <si>
    <t>Done by</t>
  </si>
  <si>
    <t>Fixed hours / year</t>
  </si>
  <si>
    <t>Hours per unit</t>
  </si>
  <si>
    <t>Benchmark hours / year</t>
  </si>
  <si>
    <t>Your estimate (hours / year, optional)</t>
  </si>
  <si>
    <t>Hours today / year</t>
  </si>
  <si>
    <t>Applied reduction*</t>
  </si>
  <si>
    <t>Hours with FI / year</t>
  </si>
  <si>
    <t>Hours saved / year</t>
  </si>
  <si>
    <t>Cost per hour (€)</t>
  </si>
  <si>
    <t>Value of time released (€ / year)</t>
  </si>
  <si>
    <t>Data requesting &amp; import</t>
  </si>
  <si>
    <t>Excel/CSV imports, document and electricity bill extraction, system integrations</t>
  </si>
  <si>
    <t>Providing data (contributors' own time)</t>
  </si>
  <si>
    <t>Guided input forms and file uploads with AI extraction instead of re-typing</t>
  </si>
  <si>
    <t>Data preparation &amp; mapping</t>
  </si>
  <si>
    <t>AI-assisted classification, mapping and structuring; mappings are reused next period</t>
  </si>
  <si>
    <t>Emission factor research &amp; maintenance</t>
  </si>
  <si>
    <t>Centrally maintained factor databases with reporting-year consistency</t>
  </si>
  <si>
    <t>Calculations &amp; consolidation</t>
  </si>
  <si>
    <t>Automated calculation and aggregation across entities and locations</t>
  </si>
  <si>
    <t>Data validation &amp; correction cycles</t>
  </si>
  <si>
    <t>AI-assisted plausibility checks, review workflows and structured approvals</t>
  </si>
  <si>
    <t>Task coordination &amp; chasing contributors</t>
  </si>
  <si>
    <t>Assignments, deadlines, automatic reminders and status tracking</t>
  </si>
  <si>
    <t>Regulatory requirements &amp; gap analysis</t>
  </si>
  <si>
    <t>Framework structures, guidance and mapping of existing data to disclosures</t>
  </si>
  <si>
    <t>Narrative drafting</t>
  </si>
  <si>
    <t>AI-assisted draft answers based on existing inputs – human review retained</t>
  </si>
  <si>
    <t>Report creation &amp; formatting</t>
  </si>
  <si>
    <t>Automated, one-click report generation</t>
  </si>
  <si>
    <t>Dashboard &amp; management updates</t>
  </si>
  <si>
    <t>Connected outputs – no copying of figures, refreshing charts or reconciling versions</t>
  </si>
  <si>
    <t>Evidence &amp; assurance preparation</t>
  </si>
  <si>
    <t>Central source documents, references and audit trail for reviewers</t>
  </si>
  <si>
    <t>Management review &amp; approvals</t>
  </si>
  <si>
    <t>Structured approval workflow with consistent, traceable figures</t>
  </si>
  <si>
    <t>Customer &amp; supplier questionnaires</t>
  </si>
  <si>
    <t>AI agents reuse existing answers for recurring information requests</t>
  </si>
  <si>
    <t>Supplier data requests</t>
  </si>
  <si>
    <t>Supplier surveys, automated reminders and structured supplier responses</t>
  </si>
  <si>
    <t>Reusable product models and automated factor mapping</t>
  </si>
  <si>
    <t>Identification and prioritization of measures incl. financial implications</t>
  </si>
  <si>
    <t>Knowledge continuity &amp; handovers</t>
  </si>
  <si>
    <t>Shared data, methods and workflows instead of individual spreadsheets</t>
  </si>
  <si>
    <t>Total</t>
  </si>
  <si>
    <t>How to read this table</t>
  </si>
  <si>
    <t>• Benchmark hours = fixed hours + hours per unit × units. Units come from your Inputs (e.g. 10 locations × 1 round = 10 units).</t>
  </si>
  <si>
    <t>• If you know your actual effort, enter it in 'Your estimate' – it replaces the benchmark. Activities outside the selected modules count as 0.</t>
  </si>
  <si>
    <t>• Expected reductions reflect what remains with FI: preparation, review, exception handling and administration. Human review and approval remain part of every workflow.</t>
  </si>
  <si>
    <t>• *Applied reduction = reduction of the selected scenario × (1 − share already covered by your current tool, Inputs C8), so existing capabilities are not credited twice.</t>
  </si>
  <si>
    <t>• Saved hours are released capacity. They only reduce cash costs if they replace staffing or external spend.</t>
  </si>
  <si>
    <t>Headline results</t>
  </si>
  <si>
    <t>Time saved per year</t>
  </si>
  <si>
    <t>Recurring annual net benefit</t>
  </si>
  <si>
    <t>3-year ROI</t>
  </si>
  <si>
    <t>Payback period</t>
  </si>
  <si>
    <t>per year from year 2 (capacity + cash)</t>
  </si>
  <si>
    <t>(3-yr cost today − 3-yr cost with FI) ÷ 3-yr cost with FI</t>
  </si>
  <si>
    <t>incl. one-time transition costs</t>
  </si>
  <si>
    <t>Annual view</t>
  </si>
  <si>
    <t>Year 1</t>
  </si>
  <si>
    <t>Year 2 onwards</t>
  </si>
  <si>
    <t>Explanation</t>
  </si>
  <si>
    <t>Internal capacity released (value of time saved)</t>
  </si>
  <si>
    <t>Hours saved × fully loaded cost per hour. Year 1 reflects the ramp-up share. Released capacity – not a cash saving unless it reduces staffing or external spend.</t>
  </si>
  <si>
    <t>Cash savings: software, databases &amp; external services</t>
  </si>
  <si>
    <t>External costs today minus external costs still needed with FI</t>
  </si>
  <si>
    <t>As per your offer</t>
  </si>
  <si>
    <t>One-time transition costs</t>
  </si>
  <si>
    <t>Implementation fee, migration, parallel licences and internal onboarding time</t>
  </si>
  <si>
    <t>Net benefit</t>
  </si>
  <si>
    <t>3-year business case</t>
  </si>
  <si>
    <t>3-year ROI (difference ÷ 3-year cost with FI)</t>
  </si>
  <si>
    <t>Net benefit per €1 spent on Footprint Intelligence (subscription + one-time)</t>
  </si>
  <si>
    <t>Scenario comparison</t>
  </si>
  <si>
    <t>Hours saved per year</t>
  </si>
  <si>
    <t>Internal capacity released (€ / year)</t>
  </si>
  <si>
    <t>Net cash impact incl. subscription (€ / year)</t>
  </si>
  <si>
    <t>Recurring annual net benefit (€ / year)</t>
  </si>
  <si>
    <t>Payback (months)</t>
  </si>
  <si>
    <t>Charts</t>
  </si>
  <si>
    <t>Additional value – not included in the figures above</t>
  </si>
  <si>
    <t>• Reuse across frameworks: the same data serves CSRD/ESRS, VSME, CDP, EcoVadis and customer requests without re-collecting it.</t>
  </si>
  <si>
    <t>• Scalability: more entities, locations and reporting requests without a proportional increase in workload.</t>
  </si>
  <si>
    <t>• Tool consolidation: further software, databases or services may be replaced – only include them above where cancellation is realistic.</t>
  </si>
  <si>
    <t>• Decarbonization: identification and prioritization of reduction measures, including their financial implications.</t>
  </si>
  <si>
    <t>• Management decisions: faster access to consistent, traceable sustainability figures.</t>
  </si>
  <si>
    <t>• Risk and assurance: audit trail and central evidence reduce the risk of findings and rework.</t>
  </si>
  <si>
    <t>These effects are real but customer-specific. Add them to the business case only where you can substantiate them.</t>
  </si>
  <si>
    <t>Key modelling principles</t>
  </si>
  <si>
    <t>• Equivalent scope: today's effort and the FI scenario cover the same modules, entities and frameworks.</t>
  </si>
  <si>
    <t>• No double counting: capabilities already provided by your current tool are credited (Inputs C8) and each activity is counted once.</t>
  </si>
  <si>
    <t>• Capacity vs. cash: saved time is shown as released capacity; only reduced external spend is a cash saving.</t>
  </si>
  <si>
    <t>• Human review: AI-assisted steps keep review and approval with your team – the remaining hours with FI include this effort.</t>
  </si>
  <si>
    <t>• Factor updates preserve reporting-year consistency; regulatory support supplements but does not replace your own assessment.</t>
  </si>
  <si>
    <t>• All figures are estimates based on your inputs and typical benchmarks. They are not a guarantee of savings.</t>
  </si>
  <si>
    <t>What does sustainability management cost you today – and how much time and money could Footprint Intelligence save?</t>
  </si>
  <si>
    <t>How to use this calculator</t>
  </si>
  <si>
    <t>Inputs</t>
  </si>
  <si>
    <t>Enter your company profile, people involved, salaries and current costs in the yellow cells.</t>
  </si>
  <si>
    <t>Activities</t>
  </si>
  <si>
    <t>Review the hours per activity. Defaults are benchmarks – replace them with your own estimates where you know them.</t>
  </si>
  <si>
    <t>Results</t>
  </si>
  <si>
    <t>Management summary: time saved, net benefit, 3-year ROI, payback, scenarios and charts.</t>
  </si>
  <si>
    <t>Tip</t>
  </si>
  <si>
    <t>Start with the defaults to get a quick estimate in 2 minutes, then refine the activities for a detailed assessment.</t>
  </si>
  <si>
    <t>Colour legend</t>
  </si>
  <si>
    <t>Enter or change these values</t>
  </si>
  <si>
    <t>Calculated</t>
  </si>
  <si>
    <t>Formulas – no need to change</t>
  </si>
  <si>
    <t>Benchmark</t>
  </si>
  <si>
    <t>Typical default values, driven by your inputs</t>
  </si>
  <si>
    <t>How the calculation works</t>
  </si>
  <si>
    <t>Cost per hour</t>
  </si>
  <si>
    <t>Avg. gross salary × (1 + employer on-costs) ÷ productive hours per year</t>
  </si>
  <si>
    <t>Time value saved</t>
  </si>
  <si>
    <t>(Hours today − hours with FI) × cost per hour, per activity</t>
  </si>
  <si>
    <t>Current annual cost</t>
  </si>
  <si>
    <t>Internal staff time + software + factor databases + external services</t>
  </si>
  <si>
    <t>Annual cost with FI</t>
  </si>
  <si>
    <t>Remaining internal time + FI subscription + remaining external costs</t>
  </si>
  <si>
    <t>Year-1 net benefit</t>
  </si>
  <si>
    <t>Time value × ramp-up share + cash savings − FI subscription − one-time transition costs</t>
  </si>
  <si>
    <t>(3-year cost today − 3-year cost with FI) ÷ 3-year cost with FI</t>
  </si>
  <si>
    <t>Payback</t>
  </si>
  <si>
    <t>First month in which the cumulative net benefit turns positive</t>
  </si>
  <si>
    <t>Important note</t>
  </si>
  <si>
    <t>This calculator provides an indicative estimate based on your inputs and typical benchmarks. It is not a binding offer or a guarantee of savings. Footprint Intelligence pricing is based on your individual offer.</t>
  </si>
  <si>
    <t>FI implementation / onboarding fee (€, as per your offer)</t>
  </si>
  <si>
    <t>Licences FI would replace. 0 for Manual / Excel – compare with another tool in section 8.</t>
  </si>
  <si>
    <t>8   Optional: compare with an alternative software</t>
  </si>
  <si>
    <t>Alternative software annual licence (€ / year)</t>
  </si>
  <si>
    <t>Annual price of the other tool you are considering</t>
  </si>
  <si>
    <t>Alternative software one-time implementation (€)</t>
  </si>
  <si>
    <t>Setup or onboarding fee of the other tool</t>
  </si>
  <si>
    <t>Share of FI's time savings the alternative achieves</t>
  </si>
  <si>
    <t>e.g. 60% if it automates fewer activities (no AI extraction, drafting or questionnaire agents)</t>
  </si>
  <si>
    <t>Additional external costs with the alternative (€ / year)</t>
  </si>
  <si>
    <t>e.g. separate emission factor database or consulting not included in the other tool</t>
  </si>
  <si>
    <t>Footprint Intelligence vs. alternative software (3 years, selected scenario)</t>
  </si>
  <si>
    <t>Alternative software</t>
  </si>
  <si>
    <t>Advantage FI</t>
  </si>
  <si>
    <t>Software subscription</t>
  </si>
  <si>
    <t>Scenario factor vs. expected →</t>
  </si>
  <si>
    <t>Expected (enter)</t>
  </si>
  <si>
    <t>• Only the 'Expected' reduction is entered per activity. Conservative and Optimistic apply the scenario factors in O4 and Q4 (capped at 95%).</t>
  </si>
  <si>
    <t>• Columns H–K (benchmark mechanics) are grouped – click '+' above the columns to show how benchmark hours are built.</t>
  </si>
  <si>
    <t>Break-even: FI pays for itself (from year 2) at this share of the expected time savings</t>
  </si>
  <si>
    <t>3-year view (savings vs. investment)</t>
  </si>
  <si>
    <t>Years 2–3</t>
  </si>
  <si>
    <t>Total 3 years</t>
  </si>
  <si>
    <t>3-year view vs. alternative software</t>
  </si>
  <si>
    <t>Internal capacity released (vs. today)</t>
  </si>
  <si>
    <t>Net benefit over 3 years</t>
  </si>
  <si>
    <t>The alternative is assumed to cover the same scope and to deliver the share of FI's time savings entered in Inputs section 8. Positive advantage = Footprint Intelligence delivers more net benefit.</t>
  </si>
  <si>
    <t>3-year view</t>
  </si>
  <si>
    <t>Benefits</t>
  </si>
  <si>
    <t>Investment</t>
  </si>
  <si>
    <t>Internal capacity released</t>
  </si>
  <si>
    <t>Cash savings</t>
  </si>
  <si>
    <t>FI subscription &amp; one-time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</si>
</sst>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&quot;€&quot;#,##0;\(&quot;€&quot;#,##0\);&quot;–&quot;"/>
    <numFmt numFmtId="168" formatCode="&quot;€&quot;#,##0.00"/>
    <numFmt numFmtId="169" formatCode="#,##0&quot; h&quot;"/>
    <numFmt numFmtId="170" formatCode="&quot;€&quot;0.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62626"/>
      <name val="Calibri"/>
      <family val="2"/>
      <scheme val="minor"/>
    </font>
    <font>
      <b/>
      <sz val="14"/>
      <color rgb="FF1B3A32"/>
      <name val="Calibri"/>
      <family val="2"/>
      <scheme val="minor"/>
    </font>
    <font>
      <sz val="10"/>
      <color rgb="FF7F7F7F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0"/>
      <color rgb="FFCFE8D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7F7F7F"/>
      <name val="Calibri"/>
      <family val="2"/>
      <scheme val="minor"/>
    </font>
    <font>
      <b/>
      <sz val="11"/>
      <color rgb="FF1B3A32"/>
      <name val="Calibri"/>
      <family val="2"/>
      <scheme val="minor"/>
    </font>
    <font>
      <b/>
      <sz val="10"/>
      <color rgb="FF1B3A32"/>
      <name val="Calibri"/>
      <family val="2"/>
      <scheme val="minor"/>
    </font>
    <font>
      <b/>
      <sz val="22"/>
      <color rgb="FF1B7F4F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0"/>
      <color rgb="FF1B7F4F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1"/>
      <color rgb="FF40404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CFE8DA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1"/>
      <color rgb="FF1B3A32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i/>
      <sz val="10"/>
      <color rgb="FF7F7F7F"/>
      <name val="Calibri"/>
      <family val="2"/>
      <scheme val="minor"/>
    </font>
    <font>
      <b/>
      <sz val="10"/>
      <color rgb="FF3BB273"/>
      <name val="Calibri"/>
      <family val="2"/>
      <scheme val="minor"/>
    </font>
    <font>
      <u/>
      <sz val="11"/>
      <color rgb="FF1B7F4F"/>
      <name val="Calibri"/>
      <family val="2"/>
      <scheme val="minor"/>
    </font>
    <font>
      <b/>
      <sz val="9"/>
      <color rgb="FF2626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3A32"/>
        <bgColor indexed="64"/>
      </patternFill>
    </fill>
    <fill>
      <patternFill patternType="solid">
        <fgColor rgb="FF3BB273"/>
        <bgColor indexed="64"/>
      </patternFill>
    </fill>
    <fill>
      <patternFill patternType="solid">
        <fgColor rgb="FFE3EFE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7F4"/>
        <bgColor indexed="64"/>
      </patternFill>
    </fill>
    <fill>
      <patternFill patternType="solid">
        <fgColor rgb="FF7F7F7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9000"/>
      </bottom>
      <diagonal/>
    </border>
    <border>
      <left/>
      <right/>
      <top style="thin">
        <color rgb="FF1B3A32"/>
      </top>
      <bottom/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BF9000"/>
      </bottom>
      <diagonal/>
    </border>
    <border>
      <left/>
      <right/>
      <top style="thin">
        <color rgb="FFE0E0E0"/>
      </top>
      <bottom style="thin">
        <color rgb="FF1B3A32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0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1" fillId="4" borderId="0" xfId="0" applyFont="1" applyFill="1"/>
    <xf numFmtId="0" fontId="11" fillId="4" borderId="0" xfId="0" applyFont="1" applyFill="1" applyAlignment="1">
      <alignment vertical="center" wrapText="1"/>
    </xf>
    <xf numFmtId="0" fontId="11" fillId="4" borderId="0" xfId="0" applyFont="1" applyFill="1" applyAlignment="1">
      <alignment horizontal="center" vertical="center" wrapText="1"/>
    </xf>
    <xf numFmtId="9" fontId="12" fillId="5" borderId="2" xfId="0" applyNumberFormat="1" applyFont="1" applyFill="1" applyBorder="1" applyAlignment="1">
      <alignment horizontal="center"/>
    </xf>
    <xf numFmtId="167" fontId="4" fillId="0" borderId="0" xfId="0" applyNumberFormat="1" applyFont="1"/>
    <xf numFmtId="167" fontId="11" fillId="6" borderId="3" xfId="0" applyNumberFormat="1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4" fillId="0" borderId="4" xfId="0" applyFont="1" applyBorder="1"/>
    <xf numFmtId="0" fontId="12" fillId="5" borderId="4" xfId="0" applyFont="1" applyFill="1" applyBorder="1" applyAlignment="1">
      <alignment horizontal="center"/>
    </xf>
    <xf numFmtId="0" fontId="7" fillId="0" borderId="4" xfId="0" applyFont="1" applyBorder="1"/>
    <xf numFmtId="0" fontId="4" fillId="0" borderId="5" xfId="0" applyFont="1" applyBorder="1"/>
    <xf numFmtId="0" fontId="12" fillId="5" borderId="5" xfId="0" applyFont="1" applyFill="1" applyBorder="1" applyAlignment="1">
      <alignment horizontal="center"/>
    </xf>
    <xf numFmtId="0" fontId="7" fillId="0" borderId="5" xfId="0" applyFont="1" applyBorder="1"/>
    <xf numFmtId="9" fontId="12" fillId="5" borderId="5" xfId="0" applyNumberFormat="1" applyFont="1" applyFill="1" applyBorder="1" applyAlignment="1">
      <alignment horizontal="center"/>
    </xf>
    <xf numFmtId="0" fontId="4" fillId="0" borderId="6" xfId="0" applyFont="1" applyBorder="1"/>
    <xf numFmtId="0" fontId="12" fillId="5" borderId="7" xfId="0" applyFont="1" applyFill="1" applyBorder="1" applyAlignment="1">
      <alignment horizontal="center"/>
    </xf>
    <xf numFmtId="0" fontId="7" fillId="0" borderId="6" xfId="0" applyFont="1" applyBorder="1"/>
    <xf numFmtId="3" fontId="12" fillId="5" borderId="4" xfId="0" applyNumberFormat="1" applyFont="1" applyFill="1" applyBorder="1" applyAlignment="1">
      <alignment horizontal="center"/>
    </xf>
    <xf numFmtId="3" fontId="12" fillId="5" borderId="5" xfId="0" applyNumberFormat="1" applyFont="1" applyFill="1" applyBorder="1" applyAlignment="1">
      <alignment horizontal="center"/>
    </xf>
    <xf numFmtId="3" fontId="12" fillId="5" borderId="7" xfId="0" applyNumberFormat="1" applyFont="1" applyFill="1" applyBorder="1" applyAlignment="1">
      <alignment horizontal="center"/>
    </xf>
    <xf numFmtId="167" fontId="12" fillId="5" borderId="4" xfId="0" applyNumberFormat="1" applyFont="1" applyFill="1" applyBorder="1" applyAlignment="1">
      <alignment horizontal="center"/>
    </xf>
    <xf numFmtId="9" fontId="12" fillId="5" borderId="4" xfId="0" applyNumberFormat="1" applyFont="1" applyFill="1" applyBorder="1" applyAlignment="1">
      <alignment horizontal="center"/>
    </xf>
    <xf numFmtId="168" fontId="11" fillId="0" borderId="4" xfId="0" applyNumberFormat="1" applyFont="1" applyBorder="1" applyAlignment="1">
      <alignment horizontal="center"/>
    </xf>
    <xf numFmtId="167" fontId="12" fillId="5" borderId="5" xfId="0" applyNumberFormat="1" applyFont="1" applyFill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167" fontId="12" fillId="5" borderId="7" xfId="0" applyNumberFormat="1" applyFont="1" applyFill="1" applyBorder="1" applyAlignment="1">
      <alignment horizontal="center"/>
    </xf>
    <xf numFmtId="9" fontId="12" fillId="5" borderId="7" xfId="0" applyNumberFormat="1" applyFont="1" applyFill="1" applyBorder="1" applyAlignment="1">
      <alignment horizontal="center"/>
    </xf>
    <xf numFmtId="168" fontId="11" fillId="0" borderId="6" xfId="0" applyNumberFormat="1" applyFont="1" applyBorder="1" applyAlignment="1">
      <alignment horizontal="center"/>
    </xf>
    <xf numFmtId="0" fontId="11" fillId="6" borderId="0" xfId="0" applyFont="1" applyFill="1" applyBorder="1"/>
    <xf numFmtId="167" fontId="11" fillId="6" borderId="0" xfId="0" applyNumberFormat="1" applyFont="1" applyFill="1" applyBorder="1" applyAlignment="1">
      <alignment horizontal="center"/>
    </xf>
    <xf numFmtId="0" fontId="11" fillId="6" borderId="0" xfId="0" applyFont="1" applyFill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7" fontId="4" fillId="0" borderId="5" xfId="0" applyNumberFormat="1" applyFont="1" applyBorder="1" applyAlignment="1">
      <alignment horizontal="center"/>
    </xf>
    <xf numFmtId="167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7" fontId="12" fillId="5" borderId="8" xfId="0" applyNumberFormat="1" applyFont="1" applyFill="1" applyBorder="1" applyAlignment="1">
      <alignment horizontal="center"/>
    </xf>
    <xf numFmtId="0" fontId="7" fillId="0" borderId="8" xfId="0" applyFont="1" applyBorder="1"/>
    <xf numFmtId="3" fontId="12" fillId="5" borderId="8" xfId="0" applyNumberFormat="1" applyFont="1" applyFill="1" applyBorder="1" applyAlignment="1">
      <alignment horizontal="center"/>
    </xf>
    <xf numFmtId="0" fontId="4" fillId="0" borderId="0" xfId="0" applyFont="1" applyBorder="1"/>
    <xf numFmtId="0" fontId="7" fillId="0" borderId="0" xfId="0" applyFont="1" applyBorder="1"/>
    <xf numFmtId="0" fontId="4" fillId="0" borderId="4" xfId="0" applyFont="1" applyBorder="1" applyAlignment="1">
      <alignment indent="1"/>
    </xf>
    <xf numFmtId="0" fontId="4" fillId="0" borderId="5" xfId="0" applyFont="1" applyBorder="1" applyAlignment="1">
      <alignment indent="1"/>
    </xf>
    <xf numFmtId="0" fontId="4" fillId="0" borderId="6" xfId="0" applyFont="1" applyBorder="1" applyAlignment="1">
      <alignment indent="1"/>
    </xf>
    <xf numFmtId="0" fontId="4" fillId="0" borderId="0" xfId="0" applyFont="1" applyAlignment="1">
      <alignment indent="1"/>
    </xf>
    <xf numFmtId="0" fontId="10" fillId="3" borderId="0" xfId="0" applyFont="1" applyFill="1" applyAlignment="1">
      <alignment vertical="center" indent="1"/>
    </xf>
    <xf numFmtId="0" fontId="7" fillId="0" borderId="0" xfId="0" applyFont="1" applyAlignment="1">
      <alignment indent="1"/>
    </xf>
    <xf numFmtId="0" fontId="11" fillId="4" borderId="0" xfId="0" applyFont="1" applyFill="1" applyAlignment="1">
      <alignment vertical="center" wrapText="1" indent="1"/>
    </xf>
    <xf numFmtId="0" fontId="4" fillId="0" borderId="8" xfId="0" applyFont="1" applyBorder="1" applyAlignment="1">
      <alignment indent="1"/>
    </xf>
    <xf numFmtId="0" fontId="11" fillId="6" borderId="0" xfId="0" applyFont="1" applyFill="1" applyBorder="1" applyAlignment="1">
      <alignment indent="1"/>
    </xf>
    <xf numFmtId="0" fontId="4" fillId="0" borderId="0" xfId="0" applyFont="1" applyBorder="1" applyAlignment="1">
      <alignment indent="1"/>
    </xf>
    <xf numFmtId="0" fontId="7" fillId="0" borderId="4" xfId="0" applyFont="1" applyBorder="1" applyAlignment="1"/>
    <xf numFmtId="0" fontId="7" fillId="0" borderId="5" xfId="0" applyFont="1" applyBorder="1" applyAlignment="1"/>
    <xf numFmtId="0" fontId="7" fillId="0" borderId="6" xfId="0" applyFont="1" applyBorder="1" applyAlignment="1"/>
    <xf numFmtId="0" fontId="11" fillId="0" borderId="8" xfId="0" applyFont="1" applyBorder="1" applyAlignment="1">
      <alignment indent="1"/>
    </xf>
    <xf numFmtId="0" fontId="4" fillId="0" borderId="0" xfId="0" applyFont="1"/>
    <xf numFmtId="0" fontId="13" fillId="3" borderId="0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3" fillId="7" borderId="0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1" fillId="4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1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2" fillId="5" borderId="4" xfId="0" applyFont="1" applyFill="1" applyBorder="1" applyAlignment="1">
      <alignment vertical="center"/>
    </xf>
    <xf numFmtId="0" fontId="12" fillId="5" borderId="5" xfId="0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  <xf numFmtId="3" fontId="4" fillId="0" borderId="4" xfId="0" applyNumberFormat="1" applyFont="1" applyBorder="1" applyAlignment="1">
      <alignment horizontal="center" vertical="center"/>
    </xf>
    <xf numFmtId="3" fontId="12" fillId="5" borderId="4" xfId="0" applyNumberFormat="1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12" fillId="5" borderId="5" xfId="0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12" fillId="5" borderId="6" xfId="0" applyNumberFormat="1" applyFont="1" applyFill="1" applyBorder="1" applyAlignment="1">
      <alignment horizontal="center" vertical="center"/>
    </xf>
    <xf numFmtId="3" fontId="4" fillId="0" borderId="0" xfId="0" applyNumberFormat="1" applyFont="1"/>
    <xf numFmtId="3" fontId="7" fillId="0" borderId="4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9" fontId="12" fillId="5" borderId="4" xfId="0" applyNumberFormat="1" applyFont="1" applyFill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9" fontId="12" fillId="5" borderId="5" xfId="0" applyNumberFormat="1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9" fontId="4" fillId="0" borderId="0" xfId="0" applyNumberFormat="1" applyFont="1"/>
    <xf numFmtId="168" fontId="4" fillId="0" borderId="4" xfId="0" applyNumberFormat="1" applyFont="1" applyBorder="1" applyAlignment="1">
      <alignment horizontal="center" vertical="center"/>
    </xf>
    <xf numFmtId="168" fontId="4" fillId="0" borderId="5" xfId="0" applyNumberFormat="1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3" fontId="11" fillId="6" borderId="3" xfId="0" applyNumberFormat="1" applyFont="1" applyFill="1" applyBorder="1" applyAlignment="1">
      <alignment horizontal="center"/>
    </xf>
    <xf numFmtId="9" fontId="11" fillId="6" borderId="3" xfId="0" applyNumberFormat="1" applyFont="1" applyFill="1" applyBorder="1" applyAlignment="1">
      <alignment horizontal="center"/>
    </xf>
    <xf numFmtId="0" fontId="11" fillId="6" borderId="3" xfId="0" applyFont="1" applyFill="1" applyBorder="1" applyAlignment="1">
      <alignment horizontal="left"/>
    </xf>
    <xf numFmtId="0" fontId="15" fillId="0" borderId="0" xfId="0" applyFont="1"/>
    <xf numFmtId="0" fontId="4" fillId="6" borderId="0" xfId="0" applyFont="1" applyFill="1"/>
    <xf numFmtId="0" fontId="16" fillId="6" borderId="12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 wrapText="1"/>
    </xf>
    <xf numFmtId="169" fontId="17" fillId="6" borderId="11" xfId="0" applyNumberFormat="1" applyFont="1" applyFill="1" applyBorder="1" applyAlignment="1">
      <alignment horizontal="center" vertical="center"/>
    </xf>
    <xf numFmtId="167" fontId="17" fillId="6" borderId="11" xfId="0" applyNumberFormat="1" applyFont="1" applyFill="1" applyBorder="1" applyAlignment="1">
      <alignment horizontal="center" vertical="center"/>
    </xf>
    <xf numFmtId="9" fontId="17" fillId="6" borderId="1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167" fontId="11" fillId="6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vertical="center"/>
    </xf>
    <xf numFmtId="0" fontId="18" fillId="0" borderId="4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167" fontId="4" fillId="0" borderId="8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vertical="center" wrapText="1"/>
    </xf>
    <xf numFmtId="3" fontId="4" fillId="0" borderId="4" xfId="0" applyNumberFormat="1" applyFont="1" applyBorder="1" applyAlignment="1">
      <alignment horizontal="center"/>
    </xf>
    <xf numFmtId="9" fontId="4" fillId="0" borderId="5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11" fillId="0" borderId="6" xfId="0" applyFont="1" applyBorder="1"/>
    <xf numFmtId="0" fontId="20" fillId="0" borderId="0" xfId="0" applyFont="1"/>
    <xf numFmtId="0" fontId="21" fillId="3" borderId="0" xfId="0" applyFont="1" applyFill="1" applyAlignment="1">
      <alignment vertical="center"/>
    </xf>
    <xf numFmtId="0" fontId="4" fillId="0" borderId="4" xfId="0" applyFont="1" applyBorder="1" applyAlignment="1">
      <alignment vertical="center" indent="1"/>
    </xf>
    <xf numFmtId="0" fontId="4" fillId="0" borderId="5" xfId="0" applyFont="1" applyBorder="1" applyAlignment="1">
      <alignment vertical="center" indent="1"/>
    </xf>
    <xf numFmtId="0" fontId="4" fillId="0" borderId="8" xfId="0" applyFont="1" applyBorder="1" applyAlignment="1">
      <alignment vertical="center" indent="1"/>
    </xf>
    <xf numFmtId="0" fontId="11" fillId="6" borderId="0" xfId="0" applyFont="1" applyFill="1" applyBorder="1" applyAlignment="1">
      <alignment vertical="center" indent="1"/>
    </xf>
    <xf numFmtId="0" fontId="11" fillId="0" borderId="6" xfId="0" applyFont="1" applyBorder="1" applyAlignment="1">
      <alignment indent="1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16" fillId="0" borderId="4" xfId="0" applyFont="1" applyBorder="1"/>
    <xf numFmtId="0" fontId="20" fillId="0" borderId="4" xfId="0" applyFont="1" applyBorder="1"/>
    <xf numFmtId="0" fontId="16" fillId="0" borderId="5" xfId="0" applyFont="1" applyBorder="1"/>
    <xf numFmtId="0" fontId="20" fillId="0" borderId="5" xfId="0" applyFont="1" applyBorder="1"/>
    <xf numFmtId="0" fontId="16" fillId="0" borderId="6" xfId="0" applyFont="1" applyBorder="1"/>
    <xf numFmtId="0" fontId="20" fillId="0" borderId="6" xfId="0" applyFont="1" applyBorder="1"/>
    <xf numFmtId="0" fontId="7" fillId="0" borderId="0" xfId="0" applyFont="1" applyAlignment="1">
      <alignment vertical="top" wrapText="1"/>
    </xf>
    <xf numFmtId="0" fontId="28" fillId="0" borderId="0" xfId="0" applyFont="1"/>
    <xf numFmtId="0" fontId="29" fillId="0" borderId="0" xfId="1" applyFont="1" applyAlignment="1">
      <alignment vertical="center"/>
    </xf>
    <xf numFmtId="170" fontId="4" fillId="0" borderId="0" xfId="0" applyNumberFormat="1" applyFont="1"/>
    <xf numFmtId="2" fontId="4" fillId="0" borderId="0" xfId="0" applyNumberFormat="1" applyFont="1"/>
    <xf numFmtId="3" fontId="4" fillId="6" borderId="0" xfId="0" applyNumberFormat="1" applyFont="1" applyFill="1"/>
    <xf numFmtId="167" fontId="4" fillId="6" borderId="0" xfId="0" applyNumberFormat="1" applyFont="1" applyFill="1"/>
    <xf numFmtId="9" fontId="4" fillId="6" borderId="0" xfId="0" applyNumberFormat="1" applyFont="1" applyFill="1"/>
    <xf numFmtId="170" fontId="4" fillId="6" borderId="0" xfId="0" applyNumberFormat="1" applyFont="1" applyFill="1"/>
    <xf numFmtId="2" fontId="4" fillId="6" borderId="0" xfId="0" applyNumberFormat="1" applyFont="1" applyFill="1"/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0" fillId="3" borderId="0" xfId="0" applyFont="1" applyFill="1" applyBorder="1" applyAlignment="1">
      <alignment vertical="center" inden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Border="1" applyAlignment="1">
      <alignment indent="1"/>
    </xf>
    <xf numFmtId="167" fontId="1" fillId="6" borderId="0" xfId="0" applyNumberFormat="1" applyFont="1" applyFill="1" applyBorder="1" applyAlignment="1">
      <alignment horizontal="center"/>
    </xf>
    <xf numFmtId="0" fontId="0" fillId="0" borderId="4" xfId="0" applyBorder="1" applyAlignment="1">
      <alignment indent="1"/>
    </xf>
    <xf numFmtId="167" fontId="0" fillId="0" borderId="4" xfId="0" applyNumberFormat="1" applyBorder="1" applyAlignment="1">
      <alignment horizontal="center"/>
    </xf>
    <xf numFmtId="0" fontId="0" fillId="0" borderId="5" xfId="0" applyBorder="1" applyAlignment="1">
      <alignment indent="1"/>
    </xf>
    <xf numFmtId="167" fontId="0" fillId="0" borderId="5" xfId="0" applyNumberFormat="1" applyBorder="1" applyAlignment="1">
      <alignment horizontal="center"/>
    </xf>
    <xf numFmtId="0" fontId="0" fillId="0" borderId="8" xfId="0" applyBorder="1" applyAlignment="1">
      <alignment indent="1"/>
    </xf>
    <xf numFmtId="167" fontId="0" fillId="0" borderId="8" xfId="0" applyNumberFormat="1" applyBorder="1" applyAlignment="1">
      <alignment horizontal="center"/>
    </xf>
    <xf numFmtId="0" fontId="18" fillId="0" borderId="0" xfId="0" applyFont="1"/>
    <xf numFmtId="9" fontId="4" fillId="0" borderId="4" xfId="0" applyNumberFormat="1" applyFont="1" applyFill="1" applyBorder="1" applyAlignment="1">
      <alignment horizontal="center" vertical="center"/>
    </xf>
    <xf numFmtId="9" fontId="4" fillId="0" borderId="5" xfId="0" applyNumberFormat="1" applyFont="1" applyFill="1" applyBorder="1" applyAlignment="1">
      <alignment horizontal="center" vertical="center"/>
    </xf>
    <xf numFmtId="9" fontId="4" fillId="0" borderId="6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6" fillId="0" borderId="0" xfId="0" applyNumberFormat="1" applyFont="1" applyAlignment="1">
      <alignment horizontal="center"/>
    </xf>
    <xf numFmtId="0" fontId="30" fillId="0" borderId="0" xfId="0" applyFont="1"/>
    <xf numFmtId="0" fontId="11" fillId="0" borderId="0" xfId="0" applyFont="1" applyBorder="1" applyAlignment="1">
      <alignment indent="1"/>
    </xf>
    <xf numFmtId="0" fontId="11" fillId="0" borderId="0" xfId="0" applyFont="1" applyBorder="1" applyAlignment="1">
      <alignment horizontal="center"/>
    </xf>
    <xf numFmtId="9" fontId="19" fillId="0" borderId="0" xfId="0" applyNumberFormat="1" applyFont="1" applyBorder="1" applyAlignment="1">
      <alignment horizontal="center"/>
    </xf>
    <xf numFmtId="0" fontId="11" fillId="0" borderId="5" xfId="0" applyFont="1" applyBorder="1" applyAlignment="1">
      <alignment indent="1"/>
    </xf>
    <xf numFmtId="0" fontId="11" fillId="0" borderId="5" xfId="0" applyFont="1" applyBorder="1" applyAlignment="1">
      <alignment horizontal="center"/>
    </xf>
    <xf numFmtId="170" fontId="19" fillId="0" borderId="5" xfId="0" applyNumberFormat="1" applyFont="1" applyBorder="1" applyAlignment="1">
      <alignment horizontal="center"/>
    </xf>
    <xf numFmtId="9" fontId="19" fillId="0" borderId="6" xfId="0" applyNumberFormat="1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62123844-2208-4018-A9B8-B1C7607DBF18}"/>
  </cellStyles>
  <dxfs count="6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b/>
        <i val="0"/>
      </font>
      <fill>
        <patternFill patternType="solid">
          <fgColor indexed="64"/>
          <bgColor rgb="FFD5EDDF"/>
        </patternFill>
      </fill>
    </dxf>
    <dxf>
      <font>
        <color rgb="FFBFBFBF"/>
      </font>
      <fill>
        <patternFill patternType="solid">
          <fgColor indexed="64"/>
          <bgColor rgb="FFF7F7F7"/>
        </patternFill>
      </fill>
    </dxf>
  </dxfs>
  <tableStyles count="0" defaultTableStyle="TableStyleMedium9" defaultPivotStyle="PivotStyleLight16"/>
  <colors>
    <mruColors>
      <color rgb="FF66FF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Return on investment: cumulative net benefit over 36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Calculations!$C$53</c:f>
              <c:strCache>
                <c:ptCount val="1"/>
                <c:pt idx="0">
                  <c:v>Conservative</c:v>
                </c:pt>
              </c:strCache>
            </c:strRef>
          </c:tx>
          <c:spPr>
            <a:ln w="25400" cap="rnd">
              <a:solidFill>
                <a:srgbClr val="A6A6A6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Calculations!$B$54:$B$89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Calculations!$C$54:$C$89</c:f>
              <c:numCache>
                <c:formatCode>"€"#,##0;\("€"#,##0\);"–"</c:formatCode>
                <c:ptCount val="36"/>
                <c:pt idx="0">
                  <c:v>-4677.679036458333</c:v>
                </c:pt>
                <c:pt idx="1">
                  <c:v>-4980.3580729166661</c:v>
                </c:pt>
                <c:pt idx="2">
                  <c:v>-5283.0371093749991</c:v>
                </c:pt>
                <c:pt idx="3">
                  <c:v>-5585.7161458333321</c:v>
                </c:pt>
                <c:pt idx="4">
                  <c:v>-5888.3951822916652</c:v>
                </c:pt>
                <c:pt idx="5">
                  <c:v>-6191.0742187499982</c:v>
                </c:pt>
                <c:pt idx="6">
                  <c:v>-6493.7532552083312</c:v>
                </c:pt>
                <c:pt idx="7">
                  <c:v>-6796.4322916666642</c:v>
                </c:pt>
                <c:pt idx="8">
                  <c:v>-7099.1113281249973</c:v>
                </c:pt>
                <c:pt idx="9">
                  <c:v>-7401.7903645833303</c:v>
                </c:pt>
                <c:pt idx="10">
                  <c:v>-7704.4694010416633</c:v>
                </c:pt>
                <c:pt idx="11">
                  <c:v>-8007.1484374999964</c:v>
                </c:pt>
                <c:pt idx="12">
                  <c:v>-7039.3912760416633</c:v>
                </c:pt>
                <c:pt idx="13">
                  <c:v>-6071.6341145833303</c:v>
                </c:pt>
                <c:pt idx="14">
                  <c:v>-5103.8769531249973</c:v>
                </c:pt>
                <c:pt idx="15">
                  <c:v>-4136.1197916666642</c:v>
                </c:pt>
                <c:pt idx="16">
                  <c:v>-3168.3626302083308</c:v>
                </c:pt>
                <c:pt idx="17">
                  <c:v>-2200.6054687499973</c:v>
                </c:pt>
                <c:pt idx="18">
                  <c:v>-1232.8483072916638</c:v>
                </c:pt>
                <c:pt idx="19">
                  <c:v>-265.09114583333042</c:v>
                </c:pt>
                <c:pt idx="20">
                  <c:v>702.66601562500296</c:v>
                </c:pt>
                <c:pt idx="21">
                  <c:v>1670.4231770833362</c:v>
                </c:pt>
                <c:pt idx="22">
                  <c:v>2638.1803385416697</c:v>
                </c:pt>
                <c:pt idx="23">
                  <c:v>3605.9375000000032</c:v>
                </c:pt>
                <c:pt idx="24">
                  <c:v>4573.6946614583367</c:v>
                </c:pt>
                <c:pt idx="25">
                  <c:v>5541.4518229166697</c:v>
                </c:pt>
                <c:pt idx="26">
                  <c:v>6509.2089843750027</c:v>
                </c:pt>
                <c:pt idx="27">
                  <c:v>7476.9661458333358</c:v>
                </c:pt>
                <c:pt idx="28">
                  <c:v>8444.7233072916697</c:v>
                </c:pt>
                <c:pt idx="29">
                  <c:v>9412.4804687500036</c:v>
                </c:pt>
                <c:pt idx="30">
                  <c:v>10380.237630208338</c:v>
                </c:pt>
                <c:pt idx="31">
                  <c:v>11347.994791666672</c:v>
                </c:pt>
                <c:pt idx="32">
                  <c:v>12315.751953125005</c:v>
                </c:pt>
                <c:pt idx="33">
                  <c:v>13283.509114583339</c:v>
                </c:pt>
                <c:pt idx="34">
                  <c:v>14251.266276041673</c:v>
                </c:pt>
                <c:pt idx="35">
                  <c:v>15219.023437500007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6-4E2D-A9D6-8A43F4D36F7B}"/>
            </c:ext>
          </c:extLst>
        </c:ser>
        <c:ser>
          <c:idx val="1"/>
          <c:order val="1"/>
          <c:tx>
            <c:strRef>
              <c:f>Calculations!$D$53</c:f>
              <c:strCache>
                <c:ptCount val="1"/>
                <c:pt idx="0">
                  <c:v>Expected</c:v>
                </c:pt>
              </c:strCache>
            </c:strRef>
          </c:tx>
          <c:spPr>
            <a:ln w="38100" cap="rnd">
              <a:solidFill>
                <a:srgbClr val="1B7F4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Calculations!$B$54:$B$89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Calculations!$D$54:$D$89</c:f>
              <c:numCache>
                <c:formatCode>"€"#,##0;\("€"#,##0\);"–"</c:formatCode>
                <c:ptCount val="36"/>
                <c:pt idx="0">
                  <c:v>-3860.9700520833335</c:v>
                </c:pt>
                <c:pt idx="1">
                  <c:v>-3346.940104166667</c:v>
                </c:pt>
                <c:pt idx="2">
                  <c:v>-2832.9101562500005</c:v>
                </c:pt>
                <c:pt idx="3">
                  <c:v>-2318.8802083333339</c:v>
                </c:pt>
                <c:pt idx="4">
                  <c:v>-1804.8502604166674</c:v>
                </c:pt>
                <c:pt idx="5">
                  <c:v>-1290.8203125000009</c:v>
                </c:pt>
                <c:pt idx="6">
                  <c:v>-776.79036458333428</c:v>
                </c:pt>
                <c:pt idx="7">
                  <c:v>-262.76041666666765</c:v>
                </c:pt>
                <c:pt idx="8">
                  <c:v>251.26953124999898</c:v>
                </c:pt>
                <c:pt idx="9">
                  <c:v>765.29947916666561</c:v>
                </c:pt>
                <c:pt idx="10">
                  <c:v>1279.3294270833321</c:v>
                </c:pt>
                <c:pt idx="11">
                  <c:v>1793.3593749999986</c:v>
                </c:pt>
                <c:pt idx="12">
                  <c:v>4122.2981770833321</c:v>
                </c:pt>
                <c:pt idx="13">
                  <c:v>6451.2369791666661</c:v>
                </c:pt>
                <c:pt idx="14">
                  <c:v>8780.17578125</c:v>
                </c:pt>
                <c:pt idx="15">
                  <c:v>11109.114583333334</c:v>
                </c:pt>
                <c:pt idx="16">
                  <c:v>13438.053385416668</c:v>
                </c:pt>
                <c:pt idx="17">
                  <c:v>15766.992187500002</c:v>
                </c:pt>
                <c:pt idx="18">
                  <c:v>18095.930989583336</c:v>
                </c:pt>
                <c:pt idx="19">
                  <c:v>20424.869791666668</c:v>
                </c:pt>
                <c:pt idx="20">
                  <c:v>22753.80859375</c:v>
                </c:pt>
                <c:pt idx="21">
                  <c:v>25082.747395833332</c:v>
                </c:pt>
                <c:pt idx="22">
                  <c:v>27411.686197916664</c:v>
                </c:pt>
                <c:pt idx="23">
                  <c:v>29740.624999999996</c:v>
                </c:pt>
                <c:pt idx="24">
                  <c:v>32069.563802083328</c:v>
                </c:pt>
                <c:pt idx="25">
                  <c:v>34398.502604166664</c:v>
                </c:pt>
                <c:pt idx="26">
                  <c:v>36727.44140625</c:v>
                </c:pt>
                <c:pt idx="27">
                  <c:v>39056.380208333336</c:v>
                </c:pt>
                <c:pt idx="28">
                  <c:v>41385.319010416672</c:v>
                </c:pt>
                <c:pt idx="29">
                  <c:v>43714.257812500007</c:v>
                </c:pt>
                <c:pt idx="30">
                  <c:v>46043.196614583343</c:v>
                </c:pt>
                <c:pt idx="31">
                  <c:v>48372.135416666679</c:v>
                </c:pt>
                <c:pt idx="32">
                  <c:v>50701.074218750015</c:v>
                </c:pt>
                <c:pt idx="33">
                  <c:v>53030.01302083335</c:v>
                </c:pt>
                <c:pt idx="34">
                  <c:v>55358.951822916686</c:v>
                </c:pt>
                <c:pt idx="35">
                  <c:v>57687.890625000022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6-4E2D-A9D6-8A43F4D36F7B}"/>
            </c:ext>
          </c:extLst>
        </c:ser>
        <c:ser>
          <c:idx val="2"/>
          <c:order val="2"/>
          <c:tx>
            <c:strRef>
              <c:f>Calculations!$E$53</c:f>
              <c:strCache>
                <c:ptCount val="1"/>
                <c:pt idx="0">
                  <c:v>Optimistic</c:v>
                </c:pt>
              </c:strCache>
            </c:strRef>
          </c:tx>
          <c:spPr>
            <a:ln w="25400" cap="rnd">
              <a:solidFill>
                <a:srgbClr val="7FD1A4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Calculations!$B$54:$B$89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Calculations!$E$54:$E$89</c:f>
              <c:numCache>
                <c:formatCode>"€"#,##0;\("€"#,##0\);"–"</c:formatCode>
                <c:ptCount val="36"/>
                <c:pt idx="0">
                  <c:v>-3180.379231770833</c:v>
                </c:pt>
                <c:pt idx="1">
                  <c:v>-1985.7584635416663</c:v>
                </c:pt>
                <c:pt idx="2">
                  <c:v>-791.13769531249955</c:v>
                </c:pt>
                <c:pt idx="3">
                  <c:v>403.4830729166672</c:v>
                </c:pt>
                <c:pt idx="4">
                  <c:v>1598.1038411458339</c:v>
                </c:pt>
                <c:pt idx="5">
                  <c:v>2792.7246093750009</c:v>
                </c:pt>
                <c:pt idx="6">
                  <c:v>3987.3453776041679</c:v>
                </c:pt>
                <c:pt idx="7">
                  <c:v>5181.9661458333348</c:v>
                </c:pt>
                <c:pt idx="8">
                  <c:v>6376.5869140625018</c:v>
                </c:pt>
                <c:pt idx="9">
                  <c:v>7571.2076822916688</c:v>
                </c:pt>
                <c:pt idx="10">
                  <c:v>8765.8284505208358</c:v>
                </c:pt>
                <c:pt idx="11">
                  <c:v>9960.4492187500018</c:v>
                </c:pt>
                <c:pt idx="12">
                  <c:v>13423.706054687502</c:v>
                </c:pt>
                <c:pt idx="13">
                  <c:v>16886.962890625</c:v>
                </c:pt>
                <c:pt idx="14">
                  <c:v>20350.2197265625</c:v>
                </c:pt>
                <c:pt idx="15">
                  <c:v>23813.4765625</c:v>
                </c:pt>
                <c:pt idx="16">
                  <c:v>27276.7333984375</c:v>
                </c:pt>
                <c:pt idx="17">
                  <c:v>30739.990234375</c:v>
                </c:pt>
                <c:pt idx="18">
                  <c:v>34203.2470703125</c:v>
                </c:pt>
                <c:pt idx="19">
                  <c:v>37666.50390625</c:v>
                </c:pt>
                <c:pt idx="20">
                  <c:v>41129.7607421875</c:v>
                </c:pt>
                <c:pt idx="21">
                  <c:v>44593.017578125</c:v>
                </c:pt>
                <c:pt idx="22">
                  <c:v>48056.2744140625</c:v>
                </c:pt>
                <c:pt idx="23">
                  <c:v>51519.53125</c:v>
                </c:pt>
                <c:pt idx="24">
                  <c:v>54982.7880859375</c:v>
                </c:pt>
                <c:pt idx="25">
                  <c:v>58446.044921875</c:v>
                </c:pt>
                <c:pt idx="26">
                  <c:v>61909.3017578125</c:v>
                </c:pt>
                <c:pt idx="27">
                  <c:v>65372.55859375</c:v>
                </c:pt>
                <c:pt idx="28">
                  <c:v>68835.8154296875</c:v>
                </c:pt>
                <c:pt idx="29">
                  <c:v>72299.072265625</c:v>
                </c:pt>
                <c:pt idx="30">
                  <c:v>75762.3291015625</c:v>
                </c:pt>
                <c:pt idx="31">
                  <c:v>79225.5859375</c:v>
                </c:pt>
                <c:pt idx="32">
                  <c:v>82688.8427734375</c:v>
                </c:pt>
                <c:pt idx="33">
                  <c:v>86152.099609375</c:v>
                </c:pt>
                <c:pt idx="34">
                  <c:v>89615.3564453125</c:v>
                </c:pt>
                <c:pt idx="35">
                  <c:v>93078.61328125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6-4E2D-A9D6-8A43F4D3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000896"/>
        <c:axId val="1935758063"/>
      </c:lineChart>
      <c:catAx>
        <c:axId val="25100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Month after go-live (break-even where the line crosses zero)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5758063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93575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Cumulative net benefit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&quot;€&quot;#,##0;\-&quot;€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10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3 years: benefits vs. investment in Footprint Intelligence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Calculations!$B$94</c:f>
              <c:strCache>
                <c:ptCount val="1"/>
                <c:pt idx="0">
                  <c:v>Internal capacity released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cat>
            <c:strRef>
              <c:f>Calculations!$C$93:$D$93</c:f>
              <c:strCache>
                <c:ptCount val="2"/>
                <c:pt idx="0">
                  <c:v>Benefits</c:v>
                </c:pt>
                <c:pt idx="1">
                  <c:v>Investment</c:v>
                </c:pt>
              </c:strCache>
            </c:strRef>
          </c:cat>
          <c:val>
            <c:numRef>
              <c:f>Calculations!$C$94:$D$94</c:f>
              <c:numCache>
                <c:formatCode>"€"#,##0;\("€"#,##0\);"–"</c:formatCode>
                <c:ptCount val="2"/>
                <c:pt idx="0">
                  <c:v>141562.890625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0-4C9A-AECD-FF4BDD343B87}"/>
            </c:ext>
          </c:extLst>
        </c:ser>
        <c:ser>
          <c:idx val="1"/>
          <c:order val="1"/>
          <c:tx>
            <c:strRef>
              <c:f>Calculations!$B$95</c:f>
              <c:strCache>
                <c:ptCount val="1"/>
                <c:pt idx="0">
                  <c:v>Cash savings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strRef>
              <c:f>Calculations!$C$93:$D$93</c:f>
              <c:strCache>
                <c:ptCount val="2"/>
                <c:pt idx="0">
                  <c:v>Benefits</c:v>
                </c:pt>
                <c:pt idx="1">
                  <c:v>Investment</c:v>
                </c:pt>
              </c:strCache>
            </c:strRef>
          </c:cat>
          <c:val>
            <c:numRef>
              <c:f>Calculations!$C$95:$D$95</c:f>
              <c:numCache>
                <c:formatCode>"€"#,##0;\("€"#,##0\);"–"</c:formatCode>
                <c:ptCount val="2"/>
                <c:pt idx="0">
                  <c:v>37500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0-4C9A-AECD-FF4BDD343B87}"/>
            </c:ext>
          </c:extLst>
        </c:ser>
        <c:ser>
          <c:idx val="2"/>
          <c:order val="2"/>
          <c:tx>
            <c:strRef>
              <c:f>Calculations!$B$96</c:f>
              <c:strCache>
                <c:ptCount val="1"/>
                <c:pt idx="0">
                  <c:v>FI subscription &amp; one-time costs</c:v>
                </c:pt>
              </c:strCache>
            </c:strRef>
          </c:tx>
          <c:spPr>
            <a:solidFill>
              <a:srgbClr val="3BB273"/>
            </a:solidFill>
            <a:ln>
              <a:noFill/>
            </a:ln>
            <a:effectLst/>
          </c:spPr>
          <c:invertIfNegative val="0"/>
          <c:cat>
            <c:strRef>
              <c:f>Calculations!$C$93:$D$93</c:f>
              <c:strCache>
                <c:ptCount val="2"/>
                <c:pt idx="0">
                  <c:v>Benefits</c:v>
                </c:pt>
                <c:pt idx="1">
                  <c:v>Investment</c:v>
                </c:pt>
              </c:strCache>
            </c:strRef>
          </c:cat>
          <c:val>
            <c:numRef>
              <c:f>Calculations!$C$96:$D$96</c:f>
              <c:numCache>
                <c:formatCode>"€"#,##0;\("€"#,##0\);"–"</c:formatCode>
                <c:ptCount val="2"/>
                <c:pt idx="0">
                  <c:v>0</c:v>
                </c:pt>
                <c:pt idx="1">
                  <c:v>121375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0-4C9A-AECD-FF4BDD343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51096944"/>
        <c:axId val="1935838223"/>
      </c:barChart>
      <c:catAx>
        <c:axId val="25109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5838223"/>
        <c:crosses val="autoZero"/>
        <c:auto val="1"/>
        <c:lblAlgn val="ctr"/>
        <c:lblOffset val="100"/>
        <c:noMultiLvlLbl val="0"/>
      </c:catAx>
      <c:valAx>
        <c:axId val="19358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&quot;€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10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Hours per year by activity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Calculations!$C$98</c:f>
              <c:strCache>
                <c:ptCount val="1"/>
                <c:pt idx="0">
                  <c:v>Hours today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strRef>
              <c:f>Calculations!$B$99:$B$116</c:f>
              <c:strCache>
                <c:ptCount val="18"/>
                <c:pt idx="0">
                  <c:v>Data requesting &amp; import</c:v>
                </c:pt>
                <c:pt idx="1">
                  <c:v>Providing data (contributors' own time)</c:v>
                </c:pt>
                <c:pt idx="2">
                  <c:v>Data preparation &amp; mapping</c:v>
                </c:pt>
                <c:pt idx="3">
                  <c:v>Emission factor research &amp; maintenance</c:v>
                </c:pt>
                <c:pt idx="4">
                  <c:v>Calculations &amp; consolidation</c:v>
                </c:pt>
                <c:pt idx="5">
                  <c:v>Data validation &amp; correction cycles</c:v>
                </c:pt>
                <c:pt idx="6">
                  <c:v>Task coordination &amp; chasing contributors</c:v>
                </c:pt>
                <c:pt idx="7">
                  <c:v>Regulatory requirements &amp; gap analysis</c:v>
                </c:pt>
                <c:pt idx="8">
                  <c:v>Narrative drafting</c:v>
                </c:pt>
                <c:pt idx="9">
                  <c:v>Report creation &amp; formatting</c:v>
                </c:pt>
                <c:pt idx="10">
                  <c:v>Dashboard &amp; management updates</c:v>
                </c:pt>
                <c:pt idx="11">
                  <c:v>Evidence &amp; assurance preparation</c:v>
                </c:pt>
                <c:pt idx="12">
                  <c:v>Management review &amp; approvals</c:v>
                </c:pt>
                <c:pt idx="13">
                  <c:v>Customer &amp; supplier questionnaires</c:v>
                </c:pt>
                <c:pt idx="14">
                  <c:v>Supplier data requests</c:v>
                </c:pt>
                <c:pt idx="15">
                  <c:v>Product carbon footprints (PCF)</c:v>
                </c:pt>
                <c:pt idx="16">
                  <c:v>Decarbonization planning</c:v>
                </c:pt>
                <c:pt idx="17">
                  <c:v>Knowledge continuity &amp; handovers</c:v>
                </c:pt>
              </c:strCache>
            </c:strRef>
          </c:cat>
          <c:val>
            <c:numRef>
              <c:f>Calculations!$C$99:$C$116</c:f>
              <c:numCache>
                <c:formatCode>#,##0</c:formatCode>
                <c:ptCount val="18"/>
                <c:pt idx="0">
                  <c:v>280</c:v>
                </c:pt>
                <c:pt idx="1">
                  <c:v>300</c:v>
                </c:pt>
                <c:pt idx="2">
                  <c:v>220</c:v>
                </c:pt>
                <c:pt idx="3">
                  <c:v>60</c:v>
                </c:pt>
                <c:pt idx="4">
                  <c:v>100</c:v>
                </c:pt>
                <c:pt idx="5">
                  <c:v>180</c:v>
                </c:pt>
                <c:pt idx="6">
                  <c:v>95</c:v>
                </c:pt>
                <c:pt idx="7">
                  <c:v>110</c:v>
                </c:pt>
                <c:pt idx="8">
                  <c:v>120</c:v>
                </c:pt>
                <c:pt idx="9">
                  <c:v>95</c:v>
                </c:pt>
                <c:pt idx="10">
                  <c:v>40</c:v>
                </c:pt>
                <c:pt idx="11">
                  <c:v>80</c:v>
                </c:pt>
                <c:pt idx="12">
                  <c:v>40</c:v>
                </c:pt>
                <c:pt idx="13">
                  <c:v>80</c:v>
                </c:pt>
                <c:pt idx="14">
                  <c:v>50</c:v>
                </c:pt>
                <c:pt idx="15">
                  <c:v>0</c:v>
                </c:pt>
                <c:pt idx="16">
                  <c:v>40</c:v>
                </c:pt>
                <c:pt idx="1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8-4781-9236-22F263CC1E8E}"/>
            </c:ext>
          </c:extLst>
        </c:ser>
        <c:ser>
          <c:idx val="1"/>
          <c:order val="1"/>
          <c:tx>
            <c:strRef>
              <c:f>Calculations!$D$98</c:f>
              <c:strCache>
                <c:ptCount val="1"/>
                <c:pt idx="0">
                  <c:v>Hours with FI</c:v>
                </c:pt>
              </c:strCache>
            </c:strRef>
          </c:tx>
          <c:spPr>
            <a:solidFill>
              <a:srgbClr val="1B7F4F"/>
            </a:solidFill>
            <a:ln>
              <a:noFill/>
            </a:ln>
            <a:effectLst/>
          </c:spPr>
          <c:invertIfNegative val="0"/>
          <c:cat>
            <c:strRef>
              <c:f>Calculations!$B$99:$B$116</c:f>
              <c:strCache>
                <c:ptCount val="18"/>
                <c:pt idx="0">
                  <c:v>Data requesting &amp; import</c:v>
                </c:pt>
                <c:pt idx="1">
                  <c:v>Providing data (contributors' own time)</c:v>
                </c:pt>
                <c:pt idx="2">
                  <c:v>Data preparation &amp; mapping</c:v>
                </c:pt>
                <c:pt idx="3">
                  <c:v>Emission factor research &amp; maintenance</c:v>
                </c:pt>
                <c:pt idx="4">
                  <c:v>Calculations &amp; consolidation</c:v>
                </c:pt>
                <c:pt idx="5">
                  <c:v>Data validation &amp; correction cycles</c:v>
                </c:pt>
                <c:pt idx="6">
                  <c:v>Task coordination &amp; chasing contributors</c:v>
                </c:pt>
                <c:pt idx="7">
                  <c:v>Regulatory requirements &amp; gap analysis</c:v>
                </c:pt>
                <c:pt idx="8">
                  <c:v>Narrative drafting</c:v>
                </c:pt>
                <c:pt idx="9">
                  <c:v>Report creation &amp; formatting</c:v>
                </c:pt>
                <c:pt idx="10">
                  <c:v>Dashboard &amp; management updates</c:v>
                </c:pt>
                <c:pt idx="11">
                  <c:v>Evidence &amp; assurance preparation</c:v>
                </c:pt>
                <c:pt idx="12">
                  <c:v>Management review &amp; approvals</c:v>
                </c:pt>
                <c:pt idx="13">
                  <c:v>Customer &amp; supplier questionnaires</c:v>
                </c:pt>
                <c:pt idx="14">
                  <c:v>Supplier data requests</c:v>
                </c:pt>
                <c:pt idx="15">
                  <c:v>Product carbon footprints (PCF)</c:v>
                </c:pt>
                <c:pt idx="16">
                  <c:v>Decarbonization planning</c:v>
                </c:pt>
                <c:pt idx="17">
                  <c:v>Knowledge continuity &amp; handovers</c:v>
                </c:pt>
              </c:strCache>
            </c:strRef>
          </c:cat>
          <c:val>
            <c:numRef>
              <c:f>Calculations!$D$99:$D$116</c:f>
              <c:numCache>
                <c:formatCode>#,##0</c:formatCode>
                <c:ptCount val="18"/>
                <c:pt idx="0">
                  <c:v>125.99999999999999</c:v>
                </c:pt>
                <c:pt idx="1">
                  <c:v>165</c:v>
                </c:pt>
                <c:pt idx="2">
                  <c:v>77</c:v>
                </c:pt>
                <c:pt idx="3">
                  <c:v>15</c:v>
                </c:pt>
                <c:pt idx="4">
                  <c:v>25</c:v>
                </c:pt>
                <c:pt idx="5">
                  <c:v>99.000000000000014</c:v>
                </c:pt>
                <c:pt idx="6">
                  <c:v>38</c:v>
                </c:pt>
                <c:pt idx="7">
                  <c:v>71.5</c:v>
                </c:pt>
                <c:pt idx="8">
                  <c:v>66</c:v>
                </c:pt>
                <c:pt idx="9">
                  <c:v>33.25</c:v>
                </c:pt>
                <c:pt idx="10">
                  <c:v>12.000000000000002</c:v>
                </c:pt>
                <c:pt idx="11">
                  <c:v>44</c:v>
                </c:pt>
                <c:pt idx="12">
                  <c:v>32</c:v>
                </c:pt>
                <c:pt idx="13">
                  <c:v>40</c:v>
                </c:pt>
                <c:pt idx="14">
                  <c:v>25</c:v>
                </c:pt>
                <c:pt idx="15">
                  <c:v>0</c:v>
                </c:pt>
                <c:pt idx="16">
                  <c:v>26</c:v>
                </c:pt>
                <c:pt idx="1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8-4781-9236-22F263CC1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51031056"/>
        <c:axId val="1935908783"/>
      </c:barChart>
      <c:catAx>
        <c:axId val="2510310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5908783"/>
        <c:crosses val="autoZero"/>
        <c:auto val="1"/>
        <c:lblAlgn val="ctr"/>
        <c:lblOffset val="100"/>
        <c:noMultiLvlLbl val="0"/>
      </c:catAx>
      <c:valAx>
        <c:axId val="1935908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103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50</xdr:row>
      <xdr:rowOff>55245</xdr:rowOff>
    </xdr:from>
    <xdr:to>
      <xdr:col>7</xdr:col>
      <xdr:colOff>1413510</xdr:colOff>
      <xdr:row>69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689CA0-4FCB-AA24-D09F-4498EF239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70</xdr:row>
      <xdr:rowOff>97156</xdr:rowOff>
    </xdr:from>
    <xdr:to>
      <xdr:col>4</xdr:col>
      <xdr:colOff>0</xdr:colOff>
      <xdr:row>95</xdr:row>
      <xdr:rowOff>140971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B267E7-CFD1-B947-BD16-9CA317CAA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1428749</xdr:colOff>
      <xdr:row>70</xdr:row>
      <xdr:rowOff>93346</xdr:rowOff>
    </xdr:from>
    <xdr:to>
      <xdr:col>7</xdr:col>
      <xdr:colOff>1413509</xdr:colOff>
      <xdr:row>95</xdr:row>
      <xdr:rowOff>142876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00888B-DFE8-1E3C-C458-489B934EC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3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A18621-FBA5-415C-B23C-A18758BAE79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13f2bef-aad2-41dd-9ba5-7cf11aba4a8b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BDDE-6487-46C8-9D77-88E19A28B24B}">
  <sheetPr>
    <tabColor rgb="FF1B3A32"/>
  </sheetPr>
  <dimension ref="A1:Z200"/>
  <sheetViews>
    <sheetView showGridLines="0" workbookViewId="0">
      <selection activeCell="D31" sqref="D31"/>
    </sheetView>
  </sheetViews>
  <sheetFormatPr defaultRowHeight="14.4" x14ac:dyDescent="0.3"/>
  <cols>
    <col min="1" max="1" width="2.5546875" customWidth="1"/>
    <col min="2" max="2" width="5.5546875" customWidth="1"/>
    <col min="3" max="3" width="31.44140625" customWidth="1"/>
    <col min="4" max="4" width="103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049999999999997" customHeight="1" x14ac:dyDescent="0.3">
      <c r="A2" s="1"/>
      <c r="B2" s="153" t="s">
        <v>76</v>
      </c>
      <c r="C2" s="153"/>
      <c r="D2" s="15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95" customHeight="1" x14ac:dyDescent="0.3">
      <c r="A3" s="1"/>
      <c r="B3" s="154" t="s">
        <v>259</v>
      </c>
      <c r="C3" s="154"/>
      <c r="D3" s="15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95" customHeight="1" x14ac:dyDescent="0.3">
      <c r="A5" s="1"/>
      <c r="B5" s="7" t="s">
        <v>260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 x14ac:dyDescent="0.3">
      <c r="A6" s="1"/>
      <c r="B6" s="155">
        <v>1</v>
      </c>
      <c r="C6" s="170" t="s">
        <v>261</v>
      </c>
      <c r="D6" s="71" t="s">
        <v>262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 x14ac:dyDescent="0.3">
      <c r="A7" s="1"/>
      <c r="B7" s="155">
        <v>2</v>
      </c>
      <c r="C7" s="170" t="s">
        <v>263</v>
      </c>
      <c r="D7" s="71" t="s">
        <v>264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 x14ac:dyDescent="0.3">
      <c r="A8" s="1"/>
      <c r="B8" s="155">
        <v>3</v>
      </c>
      <c r="C8" s="170" t="s">
        <v>265</v>
      </c>
      <c r="D8" s="71" t="s">
        <v>266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 x14ac:dyDescent="0.3">
      <c r="A9" s="1"/>
      <c r="B9" s="71"/>
      <c r="C9" s="156" t="s">
        <v>267</v>
      </c>
      <c r="D9" s="157" t="s">
        <v>268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95" customHeight="1" x14ac:dyDescent="0.3">
      <c r="A11" s="1"/>
      <c r="B11" s="7" t="s">
        <v>269</v>
      </c>
      <c r="C11" s="7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95" customHeight="1" x14ac:dyDescent="0.3">
      <c r="A12" s="1"/>
      <c r="B12" s="158"/>
      <c r="C12" s="159" t="s">
        <v>144</v>
      </c>
      <c r="D12" s="71" t="s">
        <v>270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95" customHeight="1" x14ac:dyDescent="0.3">
      <c r="A13" s="1"/>
      <c r="B13" s="160"/>
      <c r="C13" s="135" t="s">
        <v>271</v>
      </c>
      <c r="D13" s="71" t="s">
        <v>272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95" customHeight="1" x14ac:dyDescent="0.3">
      <c r="A14" s="1"/>
      <c r="B14" s="71"/>
      <c r="C14" s="161" t="s">
        <v>273</v>
      </c>
      <c r="D14" s="71" t="s">
        <v>274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95" customHeight="1" x14ac:dyDescent="0.3">
      <c r="A16" s="1"/>
      <c r="B16" s="7" t="s">
        <v>275</v>
      </c>
      <c r="C16" s="7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62" t="s">
        <v>276</v>
      </c>
      <c r="D17" s="163" t="s">
        <v>277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64" t="s">
        <v>278</v>
      </c>
      <c r="D18" s="165" t="s">
        <v>279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64" t="s">
        <v>280</v>
      </c>
      <c r="D19" s="165" t="s">
        <v>281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64" t="s">
        <v>282</v>
      </c>
      <c r="D20" s="165" t="s">
        <v>283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64" t="s">
        <v>284</v>
      </c>
      <c r="D21" s="165" t="s">
        <v>285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64" t="s">
        <v>217</v>
      </c>
      <c r="D22" s="165" t="s">
        <v>286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66" t="s">
        <v>287</v>
      </c>
      <c r="D23" s="167" t="s">
        <v>288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95" customHeight="1" x14ac:dyDescent="0.3">
      <c r="A25" s="1"/>
      <c r="B25" s="7" t="s">
        <v>289</v>
      </c>
      <c r="C25" s="7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2" customHeight="1" x14ac:dyDescent="0.3">
      <c r="A26" s="1"/>
      <c r="B26" s="1"/>
      <c r="C26" s="168" t="s">
        <v>290</v>
      </c>
      <c r="D26" s="6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69" t="s"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C26:D26"/>
  </mergeCells>
  <hyperlinks>
    <hyperlink ref="C6" location="'Inputs'!A1" tooltip="Go to Inputs" display="Inputs" xr:uid="{98021460-C951-4B67-985F-24AEAA1814AD}"/>
    <hyperlink ref="C7" location="'Activities'!A1" tooltip="Go to Activities" display="Activities" xr:uid="{A59E4FE1-F370-4EAF-AD74-99949981BD72}"/>
    <hyperlink ref="C8" location="'Results'!A1" tooltip="Go to Results" display="Results" xr:uid="{0894FC77-B4EC-429F-A801-5066125FD2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5BE4-B40C-4ECC-A5FA-E87DB8ECC6E0}">
  <sheetPr>
    <tabColor rgb="FF3BB273"/>
  </sheetPr>
  <dimension ref="A1:Z193"/>
  <sheetViews>
    <sheetView showGridLines="0" workbookViewId="0">
      <pane ySplit="3" topLeftCell="A4" activePane="bottomLeft" state="frozen"/>
      <selection pane="bottomLeft" activeCell="C15" sqref="C15"/>
    </sheetView>
  </sheetViews>
  <sheetFormatPr defaultRowHeight="14.4" x14ac:dyDescent="0.3"/>
  <cols>
    <col min="1" max="1" width="2.5546875" customWidth="1"/>
    <col min="2" max="2" width="55.5546875" customWidth="1"/>
    <col min="3" max="7" width="19.44140625" customWidth="1"/>
    <col min="8" max="8" width="61.10937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049999999999997" customHeight="1" x14ac:dyDescent="0.3">
      <c r="A2" s="1"/>
      <c r="B2" s="5" t="s">
        <v>76</v>
      </c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05" customHeight="1" x14ac:dyDescent="0.3">
      <c r="A3" s="1"/>
      <c r="B3" s="6" t="s">
        <v>77</v>
      </c>
      <c r="C3" s="6"/>
      <c r="D3" s="6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95" customHeight="1" x14ac:dyDescent="0.3">
      <c r="A5" s="1"/>
      <c r="B5" s="7" t="s">
        <v>78</v>
      </c>
      <c r="C5" s="7"/>
      <c r="D5" s="7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48" t="s">
        <v>79</v>
      </c>
      <c r="C6" s="16" t="s">
        <v>80</v>
      </c>
      <c r="D6" s="17" t="s">
        <v>81</v>
      </c>
      <c r="E6" s="15"/>
      <c r="F6" s="15"/>
      <c r="G6" s="15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49" t="s">
        <v>5</v>
      </c>
      <c r="C7" s="19" t="s">
        <v>6</v>
      </c>
      <c r="D7" s="20" t="s">
        <v>82</v>
      </c>
      <c r="E7" s="18"/>
      <c r="F7" s="18"/>
      <c r="G7" s="18"/>
      <c r="H7" s="1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49" t="s">
        <v>83</v>
      </c>
      <c r="C8" s="21">
        <v>0</v>
      </c>
      <c r="D8" s="20" t="s">
        <v>84</v>
      </c>
      <c r="E8" s="18"/>
      <c r="F8" s="18"/>
      <c r="G8" s="18"/>
      <c r="H8" s="1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49" t="s">
        <v>85</v>
      </c>
      <c r="C9" s="19">
        <v>1</v>
      </c>
      <c r="D9" s="20" t="s">
        <v>86</v>
      </c>
      <c r="E9" s="18"/>
      <c r="F9" s="18"/>
      <c r="G9" s="18"/>
      <c r="H9" s="1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50" t="s">
        <v>87</v>
      </c>
      <c r="C10" s="23" t="s">
        <v>13</v>
      </c>
      <c r="D10" s="24" t="s">
        <v>88</v>
      </c>
      <c r="E10" s="22"/>
      <c r="F10" s="22"/>
      <c r="G10" s="22"/>
      <c r="H10" s="2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5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95" customHeight="1" x14ac:dyDescent="0.3">
      <c r="A12" s="1"/>
      <c r="B12" s="52" t="s">
        <v>89</v>
      </c>
      <c r="C12" s="7"/>
      <c r="D12" s="7"/>
      <c r="E12" s="7"/>
      <c r="F12" s="7"/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48" t="s">
        <v>90</v>
      </c>
      <c r="C13" s="25">
        <v>5</v>
      </c>
      <c r="D13" s="17" t="s">
        <v>91</v>
      </c>
      <c r="E13" s="15"/>
      <c r="F13" s="15"/>
      <c r="G13" s="15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49" t="s">
        <v>92</v>
      </c>
      <c r="C14" s="26">
        <v>30</v>
      </c>
      <c r="D14" s="20" t="s">
        <v>93</v>
      </c>
      <c r="E14" s="18"/>
      <c r="F14" s="18"/>
      <c r="G14" s="18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49" t="s">
        <v>94</v>
      </c>
      <c r="C15" s="26">
        <v>3</v>
      </c>
      <c r="D15" s="20" t="s">
        <v>95</v>
      </c>
      <c r="E15" s="18"/>
      <c r="F15" s="18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49" t="s">
        <v>96</v>
      </c>
      <c r="C16" s="26">
        <v>10</v>
      </c>
      <c r="D16" s="20" t="s">
        <v>97</v>
      </c>
      <c r="E16" s="18"/>
      <c r="F16" s="18"/>
      <c r="G16" s="18"/>
      <c r="H16" s="1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49" t="s">
        <v>98</v>
      </c>
      <c r="C17" s="26">
        <v>20</v>
      </c>
      <c r="D17" s="20" t="s">
        <v>99</v>
      </c>
      <c r="E17" s="18"/>
      <c r="F17" s="18"/>
      <c r="G17" s="18"/>
      <c r="H17" s="1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50" t="s">
        <v>100</v>
      </c>
      <c r="C18" s="27">
        <v>5</v>
      </c>
      <c r="D18" s="24" t="s">
        <v>101</v>
      </c>
      <c r="E18" s="22"/>
      <c r="F18" s="22"/>
      <c r="G18" s="22"/>
      <c r="H18" s="2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5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95" customHeight="1" x14ac:dyDescent="0.3">
      <c r="A20" s="1"/>
      <c r="B20" s="52" t="s">
        <v>102</v>
      </c>
      <c r="C20" s="7"/>
      <c r="D20" s="7"/>
      <c r="E20" s="7"/>
      <c r="F20" s="7"/>
      <c r="G20" s="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48" t="s">
        <v>103</v>
      </c>
      <c r="C21" s="16" t="s">
        <v>1</v>
      </c>
      <c r="D21" s="15"/>
      <c r="E21" s="15"/>
      <c r="F21" s="15"/>
      <c r="G21" s="15"/>
      <c r="H21" s="1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49" t="s">
        <v>104</v>
      </c>
      <c r="C22" s="19" t="s">
        <v>1</v>
      </c>
      <c r="D22" s="18"/>
      <c r="E22" s="18"/>
      <c r="F22" s="18"/>
      <c r="G22" s="18"/>
      <c r="H22" s="1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49" t="s">
        <v>105</v>
      </c>
      <c r="C23" s="19" t="s">
        <v>2</v>
      </c>
      <c r="D23" s="18"/>
      <c r="E23" s="18"/>
      <c r="F23" s="18"/>
      <c r="G23" s="18"/>
      <c r="H23" s="1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49" t="s">
        <v>106</v>
      </c>
      <c r="C24" s="19" t="s">
        <v>1</v>
      </c>
      <c r="D24" s="18"/>
      <c r="E24" s="18"/>
      <c r="F24" s="18"/>
      <c r="G24" s="18"/>
      <c r="H24" s="1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50" t="s">
        <v>107</v>
      </c>
      <c r="C25" s="23" t="s">
        <v>1</v>
      </c>
      <c r="D25" s="22"/>
      <c r="E25" s="22"/>
      <c r="F25" s="22"/>
      <c r="G25" s="22"/>
      <c r="H25" s="2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53" t="s">
        <v>108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5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95" customHeight="1" x14ac:dyDescent="0.3">
      <c r="A28" s="1"/>
      <c r="B28" s="52" t="s">
        <v>109</v>
      </c>
      <c r="C28" s="7"/>
      <c r="D28" s="7"/>
      <c r="E28" s="7"/>
      <c r="F28" s="7"/>
      <c r="G28" s="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 x14ac:dyDescent="0.3">
      <c r="A29" s="1"/>
      <c r="B29" s="54" t="s">
        <v>110</v>
      </c>
      <c r="C29" s="10" t="s">
        <v>111</v>
      </c>
      <c r="D29" s="10" t="s">
        <v>112</v>
      </c>
      <c r="E29" s="10" t="s">
        <v>113</v>
      </c>
      <c r="F29" s="10" t="s">
        <v>114</v>
      </c>
      <c r="G29" s="10" t="s">
        <v>115</v>
      </c>
      <c r="H29" s="9" t="s">
        <v>116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48" t="s">
        <v>117</v>
      </c>
      <c r="C30" s="25">
        <v>2</v>
      </c>
      <c r="D30" s="28">
        <v>70000</v>
      </c>
      <c r="E30" s="29">
        <v>0.25</v>
      </c>
      <c r="F30" s="25">
        <v>1600</v>
      </c>
      <c r="G30" s="30">
        <f>IFERROR(D30*(1+E30)/F30,0)</f>
        <v>54.6875</v>
      </c>
      <c r="H30" s="58" t="s">
        <v>118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49" t="s">
        <v>119</v>
      </c>
      <c r="C31" s="26">
        <v>25</v>
      </c>
      <c r="D31" s="31">
        <v>55000</v>
      </c>
      <c r="E31" s="21">
        <v>0.25</v>
      </c>
      <c r="F31" s="26">
        <v>1600</v>
      </c>
      <c r="G31" s="32">
        <f>IFERROR(D31*(1+E31)/F31,0)</f>
        <v>42.96875</v>
      </c>
      <c r="H31" s="59" t="s">
        <v>120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49" t="s">
        <v>121</v>
      </c>
      <c r="C32" s="26">
        <v>2</v>
      </c>
      <c r="D32" s="31">
        <v>75000</v>
      </c>
      <c r="E32" s="21">
        <v>0.25</v>
      </c>
      <c r="F32" s="26">
        <v>1600</v>
      </c>
      <c r="G32" s="32">
        <f>IFERROR(D32*(1+E32)/F32,0)</f>
        <v>58.59375</v>
      </c>
      <c r="H32" s="59" t="s">
        <v>122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49" t="s">
        <v>123</v>
      </c>
      <c r="C33" s="26">
        <v>1</v>
      </c>
      <c r="D33" s="31">
        <v>65000</v>
      </c>
      <c r="E33" s="21">
        <v>0.25</v>
      </c>
      <c r="F33" s="26">
        <v>1600</v>
      </c>
      <c r="G33" s="32">
        <f>IFERROR(D33*(1+E33)/F33,0)</f>
        <v>50.78125</v>
      </c>
      <c r="H33" s="59" t="s">
        <v>124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50" t="s">
        <v>125</v>
      </c>
      <c r="C34" s="27">
        <v>2</v>
      </c>
      <c r="D34" s="33">
        <v>120000</v>
      </c>
      <c r="E34" s="34">
        <v>0.25</v>
      </c>
      <c r="F34" s="27">
        <v>1600</v>
      </c>
      <c r="G34" s="35">
        <f>IFERROR(D34*(1+E34)/F34,0)</f>
        <v>93.75</v>
      </c>
      <c r="H34" s="60" t="s">
        <v>126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5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95" customHeight="1" x14ac:dyDescent="0.3">
      <c r="A36" s="1"/>
      <c r="B36" s="52" t="s">
        <v>127</v>
      </c>
      <c r="C36" s="7"/>
      <c r="D36" s="7"/>
      <c r="E36" s="7"/>
      <c r="F36" s="7"/>
      <c r="G36" s="7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" customHeight="1" x14ac:dyDescent="0.3">
      <c r="A37" s="1"/>
      <c r="B37" s="54" t="s">
        <v>128</v>
      </c>
      <c r="C37" s="10" t="s">
        <v>129</v>
      </c>
      <c r="D37" s="10" t="s">
        <v>130</v>
      </c>
      <c r="E37" s="10" t="s">
        <v>131</v>
      </c>
      <c r="F37" s="9" t="s">
        <v>132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48" t="s">
        <v>133</v>
      </c>
      <c r="C38" s="28">
        <v>0</v>
      </c>
      <c r="D38" s="29">
        <v>0</v>
      </c>
      <c r="E38" s="39">
        <f>C38*D38</f>
        <v>0</v>
      </c>
      <c r="F38" s="17" t="s">
        <v>292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49" t="s">
        <v>134</v>
      </c>
      <c r="C39" s="31">
        <v>5000</v>
      </c>
      <c r="D39" s="21">
        <v>0</v>
      </c>
      <c r="E39" s="40">
        <f>C39*D39</f>
        <v>0</v>
      </c>
      <c r="F39" s="20" t="s">
        <v>135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49" t="s">
        <v>136</v>
      </c>
      <c r="C40" s="31">
        <v>15000</v>
      </c>
      <c r="D40" s="21">
        <v>0.5</v>
      </c>
      <c r="E40" s="40">
        <f>C40*D40</f>
        <v>7500</v>
      </c>
      <c r="F40" s="20" t="s">
        <v>137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49" t="s">
        <v>138</v>
      </c>
      <c r="C41" s="31">
        <v>0</v>
      </c>
      <c r="D41" s="21">
        <v>1</v>
      </c>
      <c r="E41" s="40">
        <f>C41*D41</f>
        <v>0</v>
      </c>
      <c r="F41" s="2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61" t="s">
        <v>139</v>
      </c>
      <c r="C42" s="41" t="s">
        <v>157</v>
      </c>
      <c r="D42" s="42"/>
      <c r="E42" s="43">
        <v>39000</v>
      </c>
      <c r="F42" s="44" t="s">
        <v>140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56" t="s">
        <v>141</v>
      </c>
      <c r="C43" s="37">
        <f>SUM(C38:C42)</f>
        <v>20000</v>
      </c>
      <c r="D43" s="38"/>
      <c r="E43" s="37">
        <f>SUM(E38:E42)</f>
        <v>46500</v>
      </c>
      <c r="F43" s="3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5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95" customHeight="1" x14ac:dyDescent="0.3">
      <c r="A45" s="1"/>
      <c r="B45" s="52" t="s">
        <v>142</v>
      </c>
      <c r="C45" s="7"/>
      <c r="D45" s="7"/>
      <c r="E45" s="7"/>
      <c r="F45" s="7"/>
      <c r="G45" s="7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0" customHeight="1" x14ac:dyDescent="0.3">
      <c r="A46" s="1"/>
      <c r="B46" s="54" t="s">
        <v>143</v>
      </c>
      <c r="C46" s="10" t="s">
        <v>144</v>
      </c>
      <c r="D46" s="10" t="s">
        <v>145</v>
      </c>
      <c r="E46" s="9" t="s">
        <v>132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48" t="s">
        <v>291</v>
      </c>
      <c r="C47" s="28">
        <v>0</v>
      </c>
      <c r="D47" s="39">
        <f>C47</f>
        <v>0</v>
      </c>
      <c r="E47" s="17" t="s">
        <v>146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49" t="s">
        <v>147</v>
      </c>
      <c r="C48" s="31">
        <v>0</v>
      </c>
      <c r="D48" s="40">
        <f>C48</f>
        <v>0</v>
      </c>
      <c r="E48" s="20" t="s">
        <v>148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49" t="s">
        <v>149</v>
      </c>
      <c r="C49" s="26">
        <v>3</v>
      </c>
      <c r="D49" s="40">
        <f>C38/12*C49</f>
        <v>0</v>
      </c>
      <c r="E49" s="20" t="s">
        <v>150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55" t="s">
        <v>151</v>
      </c>
      <c r="C50" s="45">
        <v>80</v>
      </c>
      <c r="D50" s="41">
        <f>C50*G30</f>
        <v>4375</v>
      </c>
      <c r="E50" s="44" t="s">
        <v>152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56" t="s">
        <v>153</v>
      </c>
      <c r="C51" s="36"/>
      <c r="D51" s="37">
        <f>SUM(D47:D50)</f>
        <v>4375</v>
      </c>
      <c r="E51" s="3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5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95" customHeight="1" x14ac:dyDescent="0.3">
      <c r="A53" s="1"/>
      <c r="B53" s="52" t="s">
        <v>154</v>
      </c>
      <c r="C53" s="7"/>
      <c r="D53" s="7"/>
      <c r="E53" s="7"/>
      <c r="F53" s="7"/>
      <c r="G53" s="7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57" t="s">
        <v>155</v>
      </c>
      <c r="C54" s="11">
        <v>0.6</v>
      </c>
      <c r="D54" s="47" t="s">
        <v>156</v>
      </c>
      <c r="E54" s="46"/>
      <c r="F54" s="46"/>
      <c r="G54" s="46"/>
      <c r="H54" s="4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95" customHeight="1" x14ac:dyDescent="0.3">
      <c r="A56" s="1"/>
      <c r="B56" s="7" t="s">
        <v>293</v>
      </c>
      <c r="C56" s="7"/>
      <c r="D56" s="7"/>
      <c r="E56" s="7"/>
      <c r="F56" s="7"/>
      <c r="G56" s="7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05" customHeight="1" x14ac:dyDescent="0.3">
      <c r="A57" s="1"/>
      <c r="B57" s="178" t="s">
        <v>143</v>
      </c>
      <c r="C57" s="179" t="s">
        <v>144</v>
      </c>
      <c r="D57" s="178" t="s">
        <v>132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48" t="s">
        <v>294</v>
      </c>
      <c r="C58" s="28">
        <v>20000</v>
      </c>
      <c r="D58" s="17" t="s">
        <v>295</v>
      </c>
      <c r="E58" s="15"/>
      <c r="F58" s="15"/>
      <c r="G58" s="15"/>
      <c r="H58" s="1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49" t="s">
        <v>296</v>
      </c>
      <c r="C59" s="31">
        <v>0</v>
      </c>
      <c r="D59" s="20" t="s">
        <v>297</v>
      </c>
      <c r="E59" s="18"/>
      <c r="F59" s="18"/>
      <c r="G59" s="18"/>
      <c r="H59" s="1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49" t="s">
        <v>298</v>
      </c>
      <c r="C60" s="21">
        <v>0.6</v>
      </c>
      <c r="D60" s="20" t="s">
        <v>299</v>
      </c>
      <c r="E60" s="18"/>
      <c r="F60" s="18"/>
      <c r="G60" s="18"/>
      <c r="H60" s="1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50" t="s">
        <v>300</v>
      </c>
      <c r="C61" s="33">
        <v>5000</v>
      </c>
      <c r="D61" s="24" t="s">
        <v>301</v>
      </c>
      <c r="E61" s="22"/>
      <c r="F61" s="22"/>
      <c r="G61" s="22"/>
      <c r="H61" s="2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</sheetData>
  <dataValidations count="5">
    <dataValidation type="decimal" allowBlank="1" showInputMessage="1" showErrorMessage="1" errorTitle="Invalid value" error="Please enter a percentage between 0% and 100%." sqref="C8 E30:E34 C54 D38:D41" xr:uid="{643FA71E-4632-4F49-9DD6-37B87D513DA9}">
      <formula1>0</formula1>
      <formula2>1</formula2>
    </dataValidation>
    <dataValidation type="decimal" operator="greaterThanOrEqual" allowBlank="1" showInputMessage="1" showErrorMessage="1" errorTitle="Invalid value" error="Please enter a number ≥ 0." sqref="C13:C18 C47:C50 E42 C38:C41 C30:D34" xr:uid="{54C3151D-DF29-4FBF-BA8C-EE798DEF5E4E}">
      <formula1>0</formula1>
    </dataValidation>
    <dataValidation type="decimal" operator="greaterThanOrEqual" allowBlank="1" showInputMessage="1" showErrorMessage="1" sqref="F30:F34" xr:uid="{2AB88690-AFCE-4AE8-BE8B-FB4512C60629}">
      <formula1>100</formula1>
    </dataValidation>
    <dataValidation type="decimal" allowBlank="1" showInputMessage="1" showErrorMessage="1" sqref="C60" xr:uid="{4CC11DDD-7811-4850-86DC-1F124B91D38B}">
      <formula1>0</formula1>
      <formula2>1</formula2>
    </dataValidation>
    <dataValidation type="decimal" operator="greaterThanOrEqual" allowBlank="1" showInputMessage="1" showErrorMessage="1" sqref="C58:C59 C61" xr:uid="{4DF7D027-ED7A-4049-9C07-C245A9E52CAC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414722-3B42-49F8-819E-0C99DCB40EB0}">
          <x14:formula1>
            <xm:f>Calculations!$B$6:$B$9</xm:f>
          </x14:formula1>
          <xm:sqref>C7</xm:sqref>
        </x14:dataValidation>
        <x14:dataValidation type="list" allowBlank="1" showInputMessage="1" showErrorMessage="1" xr:uid="{A468B51F-088C-4B3D-BBDA-EEB4DA8F350A}">
          <x14:formula1>
            <xm:f>Calculations!$F$6:$F$8</xm:f>
          </x14:formula1>
          <xm:sqref>C10</xm:sqref>
        </x14:dataValidation>
        <x14:dataValidation type="list" allowBlank="1" showInputMessage="1" showErrorMessage="1" xr:uid="{8671ADB3-9D0F-4ACE-B823-121812604B74}">
          <x14:formula1>
            <xm:f>Calculations!$H$6:$H$9</xm:f>
          </x14:formula1>
          <xm:sqref>C9</xm:sqref>
        </x14:dataValidation>
        <x14:dataValidation type="list" allowBlank="1" showInputMessage="1" showErrorMessage="1" xr:uid="{806ABB66-4ACA-483B-BB37-F8DF647AD870}">
          <x14:formula1>
            <xm:f>Calculations!$D$6:$D$7</xm:f>
          </x14:formula1>
          <xm:sqref>C21:C25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9E32-392C-4876-A5E2-BF4ECC5FDE11}">
  <sheetPr>
    <tabColor rgb="FF3BB273"/>
  </sheetPr>
  <dimension ref="A1:Z200"/>
  <sheetViews>
    <sheetView showGridLines="0" tabSelected="1" zoomScale="70" zoomScaleNormal="70" workbookViewId="0">
      <pane xSplit="3" ySplit="6" topLeftCell="E7" activePane="bottomRight" state="frozen"/>
      <selection pane="topRight" activeCell="D1" sqref="D1"/>
      <selection pane="bottomLeft" activeCell="A7" sqref="A7"/>
      <selection pane="bottomRight" activeCell="K31" sqref="K29:O31"/>
    </sheetView>
  </sheetViews>
  <sheetFormatPr defaultRowHeight="14.4" outlineLevelCol="1" x14ac:dyDescent="0.3"/>
  <cols>
    <col min="1" max="1" width="2.5546875" customWidth="1"/>
    <col min="2" max="2" width="4.109375" customWidth="1"/>
    <col min="3" max="3" width="37" customWidth="1"/>
    <col min="4" max="4" width="51.88671875" customWidth="1"/>
    <col min="5" max="5" width="17.5546875" customWidth="1"/>
    <col min="6" max="6" width="11.109375" customWidth="1"/>
    <col min="7" max="7" width="31.44140625" customWidth="1"/>
    <col min="8" max="9" width="11.44140625" hidden="1" customWidth="1" outlineLevel="1"/>
    <col min="10" max="10" width="22.21875" hidden="1" customWidth="1" outlineLevel="1"/>
    <col min="11" max="11" width="9.21875" hidden="1" customWidth="1" outlineLevel="1"/>
    <col min="12" max="12" width="13.33203125" customWidth="1" collapsed="1"/>
    <col min="13" max="13" width="15.77734375" customWidth="1"/>
    <col min="14" max="20" width="13.33203125" customWidth="1"/>
    <col min="21" max="21" width="12" customWidth="1"/>
    <col min="22" max="22" width="17.554687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049999999999997" customHeight="1" x14ac:dyDescent="0.3">
      <c r="A2" s="1"/>
      <c r="B2" s="5" t="s">
        <v>76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"/>
      <c r="X2" s="1"/>
      <c r="Y2" s="1"/>
      <c r="Z2" s="1"/>
    </row>
    <row r="3" spans="1:26" ht="22.05" customHeight="1" x14ac:dyDescent="0.3">
      <c r="A3" s="1"/>
      <c r="B3" s="6" t="s">
        <v>158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95" t="s">
        <v>306</v>
      </c>
      <c r="O4" s="196">
        <v>0.7</v>
      </c>
      <c r="P4" s="197">
        <v>1</v>
      </c>
      <c r="Q4" s="196">
        <v>1.25</v>
      </c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64" t="s">
        <v>72</v>
      </c>
      <c r="C5" s="63"/>
      <c r="D5" s="63"/>
      <c r="E5" s="63"/>
      <c r="F5" s="63"/>
      <c r="G5" s="63"/>
      <c r="H5" s="65" t="s">
        <v>273</v>
      </c>
      <c r="I5" s="66"/>
      <c r="J5" s="66"/>
      <c r="K5" s="66"/>
      <c r="L5" s="66"/>
      <c r="M5" s="64" t="s">
        <v>69</v>
      </c>
      <c r="N5" s="63"/>
      <c r="O5" s="64" t="s">
        <v>159</v>
      </c>
      <c r="P5" s="63"/>
      <c r="Q5" s="63"/>
      <c r="R5" s="63"/>
      <c r="S5" s="67" t="s">
        <v>70</v>
      </c>
      <c r="T5" s="68"/>
      <c r="U5" s="68"/>
      <c r="V5" s="69"/>
      <c r="W5" s="1"/>
      <c r="X5" s="1"/>
      <c r="Y5" s="1"/>
      <c r="Z5" s="1"/>
    </row>
    <row r="6" spans="1:26" ht="48" customHeight="1" x14ac:dyDescent="0.3">
      <c r="A6" s="1"/>
      <c r="B6" s="10" t="s">
        <v>37</v>
      </c>
      <c r="C6" s="70" t="s">
        <v>72</v>
      </c>
      <c r="D6" s="70" t="s">
        <v>160</v>
      </c>
      <c r="E6" s="10" t="s">
        <v>16</v>
      </c>
      <c r="F6" s="10" t="s">
        <v>161</v>
      </c>
      <c r="G6" s="10" t="s">
        <v>162</v>
      </c>
      <c r="H6" s="10" t="s">
        <v>163</v>
      </c>
      <c r="I6" s="10" t="s">
        <v>164</v>
      </c>
      <c r="J6" s="10" t="s">
        <v>24</v>
      </c>
      <c r="K6" s="10" t="s">
        <v>25</v>
      </c>
      <c r="L6" s="10" t="s">
        <v>165</v>
      </c>
      <c r="M6" s="10" t="s">
        <v>166</v>
      </c>
      <c r="N6" s="10" t="s">
        <v>167</v>
      </c>
      <c r="O6" s="10" t="s">
        <v>12</v>
      </c>
      <c r="P6" s="10" t="s">
        <v>307</v>
      </c>
      <c r="Q6" s="10" t="s">
        <v>14</v>
      </c>
      <c r="R6" s="10" t="s">
        <v>168</v>
      </c>
      <c r="S6" s="10" t="s">
        <v>169</v>
      </c>
      <c r="T6" s="10" t="s">
        <v>170</v>
      </c>
      <c r="U6" s="10" t="s">
        <v>171</v>
      </c>
      <c r="V6" s="10" t="s">
        <v>172</v>
      </c>
      <c r="W6" s="1"/>
      <c r="X6" s="1"/>
      <c r="Y6" s="1"/>
      <c r="Z6" s="1"/>
    </row>
    <row r="7" spans="1:26" ht="30" customHeight="1" x14ac:dyDescent="0.3">
      <c r="A7" s="1"/>
      <c r="B7" s="78">
        <v>1</v>
      </c>
      <c r="C7" s="72" t="s">
        <v>173</v>
      </c>
      <c r="D7" s="73" t="s">
        <v>174</v>
      </c>
      <c r="E7" s="78" t="s">
        <v>18</v>
      </c>
      <c r="F7" s="78" t="str">
        <f>_xlfn.XLOOKUP(E7,Calculations!$B$13:$B$18,Calculations!$C$13:$C$18,"No")</f>
        <v>Yes</v>
      </c>
      <c r="G7" s="84" t="s">
        <v>117</v>
      </c>
      <c r="H7" s="94">
        <v>40</v>
      </c>
      <c r="I7" s="94">
        <v>8</v>
      </c>
      <c r="J7" s="81" t="s">
        <v>27</v>
      </c>
      <c r="K7" s="87">
        <f>_xlfn.XLOOKUP(J7,Calculations!$E$13:$E$22,Calculations!$F$13:$F$22,0)</f>
        <v>30</v>
      </c>
      <c r="L7" s="87">
        <f>IF(F7="Yes",H7+I7*K7,0)</f>
        <v>280</v>
      </c>
      <c r="M7" s="88"/>
      <c r="N7" s="109">
        <f>IF(F7="Yes",IF(M7="",L7,M7),0)</f>
        <v>280</v>
      </c>
      <c r="O7" s="192">
        <f>MIN(P7*$O$4,0.95)</f>
        <v>0.38500000000000001</v>
      </c>
      <c r="P7" s="97">
        <v>0.55000000000000004</v>
      </c>
      <c r="Q7" s="192">
        <f>MIN(P7*$Q$4,0.95)</f>
        <v>0.6875</v>
      </c>
      <c r="R7" s="98" cm="1">
        <f t="array" ref="R7">INDEX(O7:Q7,Calculations!$I$13)*(1-Inputs!$C$8)</f>
        <v>0.55000000000000004</v>
      </c>
      <c r="S7" s="87">
        <f>N7*(1-R7)</f>
        <v>125.99999999999999</v>
      </c>
      <c r="T7" s="109">
        <f>N7-S7</f>
        <v>154</v>
      </c>
      <c r="U7" s="104">
        <f>_xlfn.XLOOKUP(G7,Inputs!$B$30:$B$34,Inputs!$G$30:$G$34,0)</f>
        <v>54.6875</v>
      </c>
      <c r="V7" s="112">
        <f>T7*U7</f>
        <v>8421.875</v>
      </c>
      <c r="W7" s="1"/>
      <c r="X7" s="1"/>
      <c r="Y7" s="1"/>
      <c r="Z7" s="1"/>
    </row>
    <row r="8" spans="1:26" ht="30" customHeight="1" x14ac:dyDescent="0.3">
      <c r="A8" s="1"/>
      <c r="B8" s="79">
        <v>2</v>
      </c>
      <c r="C8" s="74" t="s">
        <v>175</v>
      </c>
      <c r="D8" s="75" t="s">
        <v>176</v>
      </c>
      <c r="E8" s="79" t="s">
        <v>18</v>
      </c>
      <c r="F8" s="79" t="str">
        <f>_xlfn.XLOOKUP(E8,Calculations!$B$13:$B$18,Calculations!$C$13:$C$18,"No")</f>
        <v>Yes</v>
      </c>
      <c r="G8" s="85" t="s">
        <v>119</v>
      </c>
      <c r="H8" s="95">
        <v>0</v>
      </c>
      <c r="I8" s="95">
        <v>12</v>
      </c>
      <c r="J8" s="82" t="s">
        <v>29</v>
      </c>
      <c r="K8" s="89">
        <f>_xlfn.XLOOKUP(J8,Calculations!$E$13:$E$22,Calculations!$F$13:$F$22,0)</f>
        <v>25</v>
      </c>
      <c r="L8" s="89">
        <f>IF(F8="Yes",H8+I8*K8,0)</f>
        <v>300</v>
      </c>
      <c r="M8" s="90"/>
      <c r="N8" s="110">
        <f>IF(F8="Yes",IF(M8="",L8,M8),0)</f>
        <v>300</v>
      </c>
      <c r="O8" s="193">
        <f>MIN(P8*$O$4,0.95)</f>
        <v>0.315</v>
      </c>
      <c r="P8" s="99">
        <v>0.45</v>
      </c>
      <c r="Q8" s="193">
        <f>MIN(P8*$Q$4,0.95)</f>
        <v>0.5625</v>
      </c>
      <c r="R8" s="100" cm="1">
        <f t="array" ref="R8">INDEX(O8:Q8,Calculations!$I$13)*(1-Inputs!$C$8)</f>
        <v>0.45</v>
      </c>
      <c r="S8" s="89">
        <f>N8*(1-R8)</f>
        <v>165</v>
      </c>
      <c r="T8" s="110">
        <f>N8-S8</f>
        <v>135</v>
      </c>
      <c r="U8" s="105">
        <f>_xlfn.XLOOKUP(G8,Inputs!$B$30:$B$34,Inputs!$G$30:$G$34,0)</f>
        <v>42.96875</v>
      </c>
      <c r="V8" s="113">
        <f>T8*U8</f>
        <v>5800.78125</v>
      </c>
      <c r="W8" s="1"/>
      <c r="X8" s="1"/>
      <c r="Y8" s="1"/>
      <c r="Z8" s="1"/>
    </row>
    <row r="9" spans="1:26" ht="30" customHeight="1" x14ac:dyDescent="0.3">
      <c r="A9" s="1"/>
      <c r="B9" s="79">
        <v>3</v>
      </c>
      <c r="C9" s="74" t="s">
        <v>177</v>
      </c>
      <c r="D9" s="75" t="s">
        <v>178</v>
      </c>
      <c r="E9" s="79" t="s">
        <v>18</v>
      </c>
      <c r="F9" s="79" t="str">
        <f>_xlfn.XLOOKUP(E9,Calculations!$B$13:$B$18,Calculations!$C$13:$C$18,"No")</f>
        <v>Yes</v>
      </c>
      <c r="G9" s="85" t="s">
        <v>117</v>
      </c>
      <c r="H9" s="95">
        <v>40</v>
      </c>
      <c r="I9" s="95">
        <v>6</v>
      </c>
      <c r="J9" s="82" t="s">
        <v>27</v>
      </c>
      <c r="K9" s="89">
        <f>_xlfn.XLOOKUP(J9,Calculations!$E$13:$E$22,Calculations!$F$13:$F$22,0)</f>
        <v>30</v>
      </c>
      <c r="L9" s="89">
        <f>IF(F9="Yes",H9+I9*K9,0)</f>
        <v>220</v>
      </c>
      <c r="M9" s="90"/>
      <c r="N9" s="110">
        <f>IF(F9="Yes",IF(M9="",L9,M9),0)</f>
        <v>220</v>
      </c>
      <c r="O9" s="193">
        <f>MIN(P9*$O$4,0.95)</f>
        <v>0.45499999999999996</v>
      </c>
      <c r="P9" s="99">
        <v>0.65</v>
      </c>
      <c r="Q9" s="193">
        <f>MIN(P9*$Q$4,0.95)</f>
        <v>0.8125</v>
      </c>
      <c r="R9" s="100" cm="1">
        <f t="array" ref="R9">INDEX(O9:Q9,Calculations!$I$13)*(1-Inputs!$C$8)</f>
        <v>0.65</v>
      </c>
      <c r="S9" s="89">
        <f>N9*(1-R9)</f>
        <v>77</v>
      </c>
      <c r="T9" s="110">
        <f>N9-S9</f>
        <v>143</v>
      </c>
      <c r="U9" s="105">
        <f>_xlfn.XLOOKUP(G9,Inputs!$B$30:$B$34,Inputs!$G$30:$G$34,0)</f>
        <v>54.6875</v>
      </c>
      <c r="V9" s="113">
        <f>T9*U9</f>
        <v>7820.3125</v>
      </c>
      <c r="W9" s="1"/>
      <c r="X9" s="1"/>
      <c r="Y9" s="1"/>
      <c r="Z9" s="1"/>
    </row>
    <row r="10" spans="1:26" ht="30" customHeight="1" x14ac:dyDescent="0.3">
      <c r="A10" s="1"/>
      <c r="B10" s="79">
        <v>4</v>
      </c>
      <c r="C10" s="74" t="s">
        <v>179</v>
      </c>
      <c r="D10" s="75" t="s">
        <v>180</v>
      </c>
      <c r="E10" s="79" t="s">
        <v>19</v>
      </c>
      <c r="F10" s="79" t="str">
        <f>_xlfn.XLOOKUP(E10,Calculations!$B$13:$B$18,Calculations!$C$13:$C$18,"No")</f>
        <v>Yes</v>
      </c>
      <c r="G10" s="85" t="s">
        <v>117</v>
      </c>
      <c r="H10" s="95">
        <v>40</v>
      </c>
      <c r="I10" s="95">
        <v>4</v>
      </c>
      <c r="J10" s="82" t="s">
        <v>30</v>
      </c>
      <c r="K10" s="89">
        <f>_xlfn.XLOOKUP(J10,Calculations!$E$13:$E$22,Calculations!$F$13:$F$22,0)</f>
        <v>5</v>
      </c>
      <c r="L10" s="89">
        <f>IF(F10="Yes",H10+I10*K10,0)</f>
        <v>60</v>
      </c>
      <c r="M10" s="90"/>
      <c r="N10" s="110">
        <f>IF(F10="Yes",IF(M10="",L10,M10),0)</f>
        <v>60</v>
      </c>
      <c r="O10" s="193">
        <f>MIN(P10*$O$4,0.95)</f>
        <v>0.52499999999999991</v>
      </c>
      <c r="P10" s="99">
        <v>0.75</v>
      </c>
      <c r="Q10" s="193">
        <f>MIN(P10*$Q$4,0.95)</f>
        <v>0.9375</v>
      </c>
      <c r="R10" s="100" cm="1">
        <f t="array" ref="R10">INDEX(O10:Q10,Calculations!$I$13)*(1-Inputs!$C$8)</f>
        <v>0.75</v>
      </c>
      <c r="S10" s="89">
        <f>N10*(1-R10)</f>
        <v>15</v>
      </c>
      <c r="T10" s="110">
        <f>N10-S10</f>
        <v>45</v>
      </c>
      <c r="U10" s="105">
        <f>_xlfn.XLOOKUP(G10,Inputs!$B$30:$B$34,Inputs!$G$30:$G$34,0)</f>
        <v>54.6875</v>
      </c>
      <c r="V10" s="113">
        <f>T10*U10</f>
        <v>2460.9375</v>
      </c>
      <c r="W10" s="1"/>
      <c r="X10" s="1"/>
      <c r="Y10" s="1"/>
      <c r="Z10" s="1"/>
    </row>
    <row r="11" spans="1:26" ht="30" customHeight="1" x14ac:dyDescent="0.3">
      <c r="A11" s="1"/>
      <c r="B11" s="79">
        <v>5</v>
      </c>
      <c r="C11" s="74" t="s">
        <v>181</v>
      </c>
      <c r="D11" s="75" t="s">
        <v>182</v>
      </c>
      <c r="E11" s="79" t="s">
        <v>19</v>
      </c>
      <c r="F11" s="79" t="str">
        <f>_xlfn.XLOOKUP(E11,Calculations!$B$13:$B$18,Calculations!$C$13:$C$18,"No")</f>
        <v>Yes</v>
      </c>
      <c r="G11" s="85" t="s">
        <v>121</v>
      </c>
      <c r="H11" s="95">
        <v>40</v>
      </c>
      <c r="I11" s="95">
        <v>12</v>
      </c>
      <c r="J11" s="82" t="s">
        <v>28</v>
      </c>
      <c r="K11" s="89">
        <f>_xlfn.XLOOKUP(J11,Calculations!$E$13:$E$22,Calculations!$F$13:$F$22,0)</f>
        <v>5</v>
      </c>
      <c r="L11" s="89">
        <f>IF(F11="Yes",H11+I11*K11,0)</f>
        <v>100</v>
      </c>
      <c r="M11" s="90"/>
      <c r="N11" s="110">
        <f>IF(F11="Yes",IF(M11="",L11,M11),0)</f>
        <v>100</v>
      </c>
      <c r="O11" s="193">
        <f>MIN(P11*$O$4,0.95)</f>
        <v>0.52499999999999991</v>
      </c>
      <c r="P11" s="99">
        <v>0.75</v>
      </c>
      <c r="Q11" s="193">
        <f>MIN(P11*$Q$4,0.95)</f>
        <v>0.9375</v>
      </c>
      <c r="R11" s="100" cm="1">
        <f t="array" ref="R11">INDEX(O11:Q11,Calculations!$I$13)*(1-Inputs!$C$8)</f>
        <v>0.75</v>
      </c>
      <c r="S11" s="89">
        <f>N11*(1-R11)</f>
        <v>25</v>
      </c>
      <c r="T11" s="110">
        <f>N11-S11</f>
        <v>75</v>
      </c>
      <c r="U11" s="105">
        <f>_xlfn.XLOOKUP(G11,Inputs!$B$30:$B$34,Inputs!$G$30:$G$34,0)</f>
        <v>58.59375</v>
      </c>
      <c r="V11" s="113">
        <f>T11*U11</f>
        <v>4394.53125</v>
      </c>
      <c r="W11" s="1"/>
      <c r="X11" s="1"/>
      <c r="Y11" s="1"/>
      <c r="Z11" s="1"/>
    </row>
    <row r="12" spans="1:26" ht="30" customHeight="1" x14ac:dyDescent="0.3">
      <c r="A12" s="1"/>
      <c r="B12" s="79">
        <v>6</v>
      </c>
      <c r="C12" s="74" t="s">
        <v>183</v>
      </c>
      <c r="D12" s="75" t="s">
        <v>184</v>
      </c>
      <c r="E12" s="79" t="s">
        <v>18</v>
      </c>
      <c r="F12" s="79" t="str">
        <f>_xlfn.XLOOKUP(E12,Calculations!$B$13:$B$18,Calculations!$C$13:$C$18,"No")</f>
        <v>Yes</v>
      </c>
      <c r="G12" s="85" t="s">
        <v>117</v>
      </c>
      <c r="H12" s="95">
        <v>30</v>
      </c>
      <c r="I12" s="95">
        <v>5</v>
      </c>
      <c r="J12" s="82" t="s">
        <v>27</v>
      </c>
      <c r="K12" s="89">
        <f>_xlfn.XLOOKUP(J12,Calculations!$E$13:$E$22,Calculations!$F$13:$F$22,0)</f>
        <v>30</v>
      </c>
      <c r="L12" s="89">
        <f>IF(F12="Yes",H12+I12*K12,0)</f>
        <v>180</v>
      </c>
      <c r="M12" s="90"/>
      <c r="N12" s="110">
        <f>IF(F12="Yes",IF(M12="",L12,M12),0)</f>
        <v>180</v>
      </c>
      <c r="O12" s="193">
        <f>MIN(P12*$O$4,0.95)</f>
        <v>0.315</v>
      </c>
      <c r="P12" s="99">
        <v>0.45</v>
      </c>
      <c r="Q12" s="193">
        <f>MIN(P12*$Q$4,0.95)</f>
        <v>0.5625</v>
      </c>
      <c r="R12" s="100" cm="1">
        <f t="array" ref="R12">INDEX(O12:Q12,Calculations!$I$13)*(1-Inputs!$C$8)</f>
        <v>0.45</v>
      </c>
      <c r="S12" s="89">
        <f>N12*(1-R12)</f>
        <v>99.000000000000014</v>
      </c>
      <c r="T12" s="110">
        <f>N12-S12</f>
        <v>80.999999999999986</v>
      </c>
      <c r="U12" s="105">
        <f>_xlfn.XLOOKUP(G12,Inputs!$B$30:$B$34,Inputs!$G$30:$G$34,0)</f>
        <v>54.6875</v>
      </c>
      <c r="V12" s="113">
        <f>T12*U12</f>
        <v>4429.6874999999991</v>
      </c>
      <c r="W12" s="1"/>
      <c r="X12" s="1"/>
      <c r="Y12" s="1"/>
      <c r="Z12" s="1"/>
    </row>
    <row r="13" spans="1:26" ht="30" customHeight="1" x14ac:dyDescent="0.3">
      <c r="A13" s="1"/>
      <c r="B13" s="79">
        <v>7</v>
      </c>
      <c r="C13" s="74" t="s">
        <v>185</v>
      </c>
      <c r="D13" s="75" t="s">
        <v>186</v>
      </c>
      <c r="E13" s="79" t="s">
        <v>18</v>
      </c>
      <c r="F13" s="79" t="str">
        <f>_xlfn.XLOOKUP(E13,Calculations!$B$13:$B$18,Calculations!$C$13:$C$18,"No")</f>
        <v>Yes</v>
      </c>
      <c r="G13" s="85" t="s">
        <v>117</v>
      </c>
      <c r="H13" s="95">
        <v>20</v>
      </c>
      <c r="I13" s="95">
        <v>3</v>
      </c>
      <c r="J13" s="82" t="s">
        <v>29</v>
      </c>
      <c r="K13" s="89">
        <f>_xlfn.XLOOKUP(J13,Calculations!$E$13:$E$22,Calculations!$F$13:$F$22,0)</f>
        <v>25</v>
      </c>
      <c r="L13" s="89">
        <f>IF(F13="Yes",H13+I13*K13,0)</f>
        <v>95</v>
      </c>
      <c r="M13" s="90"/>
      <c r="N13" s="110">
        <f>IF(F13="Yes",IF(M13="",L13,M13),0)</f>
        <v>95</v>
      </c>
      <c r="O13" s="193">
        <f>MIN(P13*$O$4,0.95)</f>
        <v>0.42</v>
      </c>
      <c r="P13" s="99">
        <v>0.6</v>
      </c>
      <c r="Q13" s="193">
        <f>MIN(P13*$Q$4,0.95)</f>
        <v>0.75</v>
      </c>
      <c r="R13" s="100" cm="1">
        <f t="array" ref="R13">INDEX(O13:Q13,Calculations!$I$13)*(1-Inputs!$C$8)</f>
        <v>0.6</v>
      </c>
      <c r="S13" s="89">
        <f>N13*(1-R13)</f>
        <v>38</v>
      </c>
      <c r="T13" s="110">
        <f>N13-S13</f>
        <v>57</v>
      </c>
      <c r="U13" s="105">
        <f>_xlfn.XLOOKUP(G13,Inputs!$B$30:$B$34,Inputs!$G$30:$G$34,0)</f>
        <v>54.6875</v>
      </c>
      <c r="V13" s="113">
        <f>T13*U13</f>
        <v>3117.1875</v>
      </c>
      <c r="W13" s="1"/>
      <c r="X13" s="1"/>
      <c r="Y13" s="1"/>
      <c r="Z13" s="1"/>
    </row>
    <row r="14" spans="1:26" ht="30" customHeight="1" x14ac:dyDescent="0.3">
      <c r="A14" s="1"/>
      <c r="B14" s="79">
        <v>8</v>
      </c>
      <c r="C14" s="74" t="s">
        <v>187</v>
      </c>
      <c r="D14" s="75" t="s">
        <v>188</v>
      </c>
      <c r="E14" s="79" t="s">
        <v>20</v>
      </c>
      <c r="F14" s="79" t="str">
        <f>_xlfn.XLOOKUP(E14,Calculations!$B$13:$B$18,Calculations!$C$13:$C$18,"No")</f>
        <v>Yes</v>
      </c>
      <c r="G14" s="85" t="s">
        <v>117</v>
      </c>
      <c r="H14" s="95">
        <v>20</v>
      </c>
      <c r="I14" s="95">
        <v>30</v>
      </c>
      <c r="J14" s="82" t="s">
        <v>31</v>
      </c>
      <c r="K14" s="89">
        <f>_xlfn.XLOOKUP(J14,Calculations!$E$13:$E$22,Calculations!$F$13:$F$22,0)</f>
        <v>3</v>
      </c>
      <c r="L14" s="89">
        <f>IF(F14="Yes",H14+I14*K14,0)</f>
        <v>110</v>
      </c>
      <c r="M14" s="90"/>
      <c r="N14" s="110">
        <f>IF(F14="Yes",IF(M14="",L14,M14),0)</f>
        <v>110</v>
      </c>
      <c r="O14" s="193">
        <f>MIN(P14*$O$4,0.95)</f>
        <v>0.24499999999999997</v>
      </c>
      <c r="P14" s="99">
        <v>0.35</v>
      </c>
      <c r="Q14" s="193">
        <f>MIN(P14*$Q$4,0.95)</f>
        <v>0.4375</v>
      </c>
      <c r="R14" s="100" cm="1">
        <f t="array" ref="R14">INDEX(O14:Q14,Calculations!$I$13)*(1-Inputs!$C$8)</f>
        <v>0.35</v>
      </c>
      <c r="S14" s="89">
        <f>N14*(1-R14)</f>
        <v>71.5</v>
      </c>
      <c r="T14" s="110">
        <f>N14-S14</f>
        <v>38.5</v>
      </c>
      <c r="U14" s="105">
        <f>_xlfn.XLOOKUP(G14,Inputs!$B$30:$B$34,Inputs!$G$30:$G$34,0)</f>
        <v>54.6875</v>
      </c>
      <c r="V14" s="113">
        <f>T14*U14</f>
        <v>2105.46875</v>
      </c>
      <c r="W14" s="1"/>
      <c r="X14" s="1"/>
      <c r="Y14" s="1"/>
      <c r="Z14" s="1"/>
    </row>
    <row r="15" spans="1:26" ht="30" customHeight="1" x14ac:dyDescent="0.3">
      <c r="A15" s="1"/>
      <c r="B15" s="79">
        <v>9</v>
      </c>
      <c r="C15" s="74" t="s">
        <v>189</v>
      </c>
      <c r="D15" s="75" t="s">
        <v>190</v>
      </c>
      <c r="E15" s="79" t="s">
        <v>20</v>
      </c>
      <c r="F15" s="79" t="str">
        <f>_xlfn.XLOOKUP(E15,Calculations!$B$13:$B$18,Calculations!$C$13:$C$18,"No")</f>
        <v>Yes</v>
      </c>
      <c r="G15" s="85" t="s">
        <v>117</v>
      </c>
      <c r="H15" s="95">
        <v>0</v>
      </c>
      <c r="I15" s="95">
        <v>40</v>
      </c>
      <c r="J15" s="82" t="s">
        <v>31</v>
      </c>
      <c r="K15" s="89">
        <f>_xlfn.XLOOKUP(J15,Calculations!$E$13:$E$22,Calculations!$F$13:$F$22,0)</f>
        <v>3</v>
      </c>
      <c r="L15" s="89">
        <f>IF(F15="Yes",H15+I15*K15,0)</f>
        <v>120</v>
      </c>
      <c r="M15" s="90"/>
      <c r="N15" s="110">
        <f>IF(F15="Yes",IF(M15="",L15,M15),0)</f>
        <v>120</v>
      </c>
      <c r="O15" s="193">
        <f>MIN(P15*$O$4,0.95)</f>
        <v>0.315</v>
      </c>
      <c r="P15" s="99">
        <v>0.45</v>
      </c>
      <c r="Q15" s="193">
        <f>MIN(P15*$Q$4,0.95)</f>
        <v>0.5625</v>
      </c>
      <c r="R15" s="100" cm="1">
        <f t="array" ref="R15">INDEX(O15:Q15,Calculations!$I$13)*(1-Inputs!$C$8)</f>
        <v>0.45</v>
      </c>
      <c r="S15" s="89">
        <f>N15*(1-R15)</f>
        <v>66</v>
      </c>
      <c r="T15" s="110">
        <f>N15-S15</f>
        <v>54</v>
      </c>
      <c r="U15" s="105">
        <f>_xlfn.XLOOKUP(G15,Inputs!$B$30:$B$34,Inputs!$G$30:$G$34,0)</f>
        <v>54.6875</v>
      </c>
      <c r="V15" s="113">
        <f>T15*U15</f>
        <v>2953.125</v>
      </c>
      <c r="W15" s="1"/>
      <c r="X15" s="1"/>
      <c r="Y15" s="1"/>
      <c r="Z15" s="1"/>
    </row>
    <row r="16" spans="1:26" ht="30" customHeight="1" x14ac:dyDescent="0.3">
      <c r="A16" s="1"/>
      <c r="B16" s="79">
        <v>10</v>
      </c>
      <c r="C16" s="74" t="s">
        <v>191</v>
      </c>
      <c r="D16" s="75" t="s">
        <v>192</v>
      </c>
      <c r="E16" s="79" t="s">
        <v>18</v>
      </c>
      <c r="F16" s="79" t="str">
        <f>_xlfn.XLOOKUP(E16,Calculations!$B$13:$B$18,Calculations!$C$13:$C$18,"No")</f>
        <v>Yes</v>
      </c>
      <c r="G16" s="85" t="s">
        <v>117</v>
      </c>
      <c r="H16" s="95">
        <v>20</v>
      </c>
      <c r="I16" s="95">
        <v>25</v>
      </c>
      <c r="J16" s="82" t="s">
        <v>31</v>
      </c>
      <c r="K16" s="89">
        <f>_xlfn.XLOOKUP(J16,Calculations!$E$13:$E$22,Calculations!$F$13:$F$22,0)</f>
        <v>3</v>
      </c>
      <c r="L16" s="89">
        <f>IF(F16="Yes",H16+I16*K16,0)</f>
        <v>95</v>
      </c>
      <c r="M16" s="90"/>
      <c r="N16" s="110">
        <f>IF(F16="Yes",IF(M16="",L16,M16),0)</f>
        <v>95</v>
      </c>
      <c r="O16" s="193">
        <f>MIN(P16*$O$4,0.95)</f>
        <v>0.45499999999999996</v>
      </c>
      <c r="P16" s="99">
        <v>0.65</v>
      </c>
      <c r="Q16" s="193">
        <f>MIN(P16*$Q$4,0.95)</f>
        <v>0.8125</v>
      </c>
      <c r="R16" s="100" cm="1">
        <f t="array" ref="R16">INDEX(O16:Q16,Calculations!$I$13)*(1-Inputs!$C$8)</f>
        <v>0.65</v>
      </c>
      <c r="S16" s="89">
        <f>N16*(1-R16)</f>
        <v>33.25</v>
      </c>
      <c r="T16" s="110">
        <f>N16-S16</f>
        <v>61.75</v>
      </c>
      <c r="U16" s="105">
        <f>_xlfn.XLOOKUP(G16,Inputs!$B$30:$B$34,Inputs!$G$30:$G$34,0)</f>
        <v>54.6875</v>
      </c>
      <c r="V16" s="113">
        <f>T16*U16</f>
        <v>3376.953125</v>
      </c>
      <c r="W16" s="1"/>
      <c r="X16" s="1"/>
      <c r="Y16" s="1"/>
      <c r="Z16" s="1"/>
    </row>
    <row r="17" spans="1:26" ht="30" customHeight="1" x14ac:dyDescent="0.3">
      <c r="A17" s="1"/>
      <c r="B17" s="79">
        <v>11</v>
      </c>
      <c r="C17" s="74" t="s">
        <v>193</v>
      </c>
      <c r="D17" s="75" t="s">
        <v>194</v>
      </c>
      <c r="E17" s="79" t="s">
        <v>18</v>
      </c>
      <c r="F17" s="79" t="str">
        <f>_xlfn.XLOOKUP(E17,Calculations!$B$13:$B$18,Calculations!$C$13:$C$18,"No")</f>
        <v>Yes</v>
      </c>
      <c r="G17" s="85" t="s">
        <v>117</v>
      </c>
      <c r="H17" s="95">
        <v>20</v>
      </c>
      <c r="I17" s="95">
        <v>20</v>
      </c>
      <c r="J17" s="82" t="s">
        <v>35</v>
      </c>
      <c r="K17" s="89">
        <f>_xlfn.XLOOKUP(J17,Calculations!$E$13:$E$22,Calculations!$F$13:$F$22,0)</f>
        <v>1</v>
      </c>
      <c r="L17" s="89">
        <f>IF(F17="Yes",H17+I17*K17,0)</f>
        <v>40</v>
      </c>
      <c r="M17" s="90"/>
      <c r="N17" s="110">
        <f>IF(F17="Yes",IF(M17="",L17,M17),0)</f>
        <v>40</v>
      </c>
      <c r="O17" s="193">
        <f>MIN(P17*$O$4,0.95)</f>
        <v>0.48999999999999994</v>
      </c>
      <c r="P17" s="99">
        <v>0.7</v>
      </c>
      <c r="Q17" s="193">
        <f>MIN(P17*$Q$4,0.95)</f>
        <v>0.875</v>
      </c>
      <c r="R17" s="100" cm="1">
        <f t="array" ref="R17">INDEX(O17:Q17,Calculations!$I$13)*(1-Inputs!$C$8)</f>
        <v>0.7</v>
      </c>
      <c r="S17" s="89">
        <f>N17*(1-R17)</f>
        <v>12.000000000000002</v>
      </c>
      <c r="T17" s="110">
        <f>N17-S17</f>
        <v>28</v>
      </c>
      <c r="U17" s="105">
        <f>_xlfn.XLOOKUP(G17,Inputs!$B$30:$B$34,Inputs!$G$30:$G$34,0)</f>
        <v>54.6875</v>
      </c>
      <c r="V17" s="113">
        <f>T17*U17</f>
        <v>1531.25</v>
      </c>
      <c r="W17" s="1"/>
      <c r="X17" s="1"/>
      <c r="Y17" s="1"/>
      <c r="Z17" s="1"/>
    </row>
    <row r="18" spans="1:26" ht="30" customHeight="1" x14ac:dyDescent="0.3">
      <c r="A18" s="1"/>
      <c r="B18" s="79">
        <v>12</v>
      </c>
      <c r="C18" s="74" t="s">
        <v>195</v>
      </c>
      <c r="D18" s="75" t="s">
        <v>196</v>
      </c>
      <c r="E18" s="79" t="s">
        <v>18</v>
      </c>
      <c r="F18" s="79" t="str">
        <f>_xlfn.XLOOKUP(E18,Calculations!$B$13:$B$18,Calculations!$C$13:$C$18,"No")</f>
        <v>Yes</v>
      </c>
      <c r="G18" s="85" t="s">
        <v>117</v>
      </c>
      <c r="H18" s="95">
        <v>40</v>
      </c>
      <c r="I18" s="95">
        <v>8</v>
      </c>
      <c r="J18" s="82" t="s">
        <v>30</v>
      </c>
      <c r="K18" s="89">
        <f>_xlfn.XLOOKUP(J18,Calculations!$E$13:$E$22,Calculations!$F$13:$F$22,0)</f>
        <v>5</v>
      </c>
      <c r="L18" s="89">
        <f>IF(F18="Yes",H18+I18*K18,0)</f>
        <v>80</v>
      </c>
      <c r="M18" s="90"/>
      <c r="N18" s="110">
        <f>IF(F18="Yes",IF(M18="",L18,M18),0)</f>
        <v>80</v>
      </c>
      <c r="O18" s="193">
        <f>MIN(P18*$O$4,0.95)</f>
        <v>0.315</v>
      </c>
      <c r="P18" s="99">
        <v>0.45</v>
      </c>
      <c r="Q18" s="193">
        <f>MIN(P18*$Q$4,0.95)</f>
        <v>0.5625</v>
      </c>
      <c r="R18" s="100" cm="1">
        <f t="array" ref="R18">INDEX(O18:Q18,Calculations!$I$13)*(1-Inputs!$C$8)</f>
        <v>0.45</v>
      </c>
      <c r="S18" s="89">
        <f>N18*(1-R18)</f>
        <v>44</v>
      </c>
      <c r="T18" s="110">
        <f>N18-S18</f>
        <v>36</v>
      </c>
      <c r="U18" s="105">
        <f>_xlfn.XLOOKUP(G18,Inputs!$B$30:$B$34,Inputs!$G$30:$G$34,0)</f>
        <v>54.6875</v>
      </c>
      <c r="V18" s="113">
        <f>T18*U18</f>
        <v>1968.75</v>
      </c>
      <c r="W18" s="1"/>
      <c r="X18" s="1"/>
      <c r="Y18" s="1"/>
      <c r="Z18" s="1"/>
    </row>
    <row r="19" spans="1:26" ht="30" customHeight="1" x14ac:dyDescent="0.3">
      <c r="A19" s="1"/>
      <c r="B19" s="79">
        <v>13</v>
      </c>
      <c r="C19" s="74" t="s">
        <v>197</v>
      </c>
      <c r="D19" s="75" t="s">
        <v>198</v>
      </c>
      <c r="E19" s="79" t="s">
        <v>18</v>
      </c>
      <c r="F19" s="79" t="str">
        <f>_xlfn.XLOOKUP(E19,Calculations!$B$13:$B$18,Calculations!$C$13:$C$18,"No")</f>
        <v>Yes</v>
      </c>
      <c r="G19" s="85" t="s">
        <v>125</v>
      </c>
      <c r="H19" s="95">
        <v>10</v>
      </c>
      <c r="I19" s="95">
        <v>10</v>
      </c>
      <c r="J19" s="82" t="s">
        <v>31</v>
      </c>
      <c r="K19" s="89">
        <f>_xlfn.XLOOKUP(J19,Calculations!$E$13:$E$22,Calculations!$F$13:$F$22,0)</f>
        <v>3</v>
      </c>
      <c r="L19" s="89">
        <f>IF(F19="Yes",H19+I19*K19,0)</f>
        <v>40</v>
      </c>
      <c r="M19" s="90"/>
      <c r="N19" s="110">
        <f>IF(F19="Yes",IF(M19="",L19,M19),0)</f>
        <v>40</v>
      </c>
      <c r="O19" s="193">
        <f>MIN(P19*$O$4,0.95)</f>
        <v>0.13999999999999999</v>
      </c>
      <c r="P19" s="99">
        <v>0.2</v>
      </c>
      <c r="Q19" s="193">
        <f>MIN(P19*$Q$4,0.95)</f>
        <v>0.25</v>
      </c>
      <c r="R19" s="100" cm="1">
        <f t="array" ref="R19">INDEX(O19:Q19,Calculations!$I$13)*(1-Inputs!$C$8)</f>
        <v>0.2</v>
      </c>
      <c r="S19" s="89">
        <f>N19*(1-R19)</f>
        <v>32</v>
      </c>
      <c r="T19" s="110">
        <f>N19-S19</f>
        <v>8</v>
      </c>
      <c r="U19" s="105">
        <f>_xlfn.XLOOKUP(G19,Inputs!$B$30:$B$34,Inputs!$G$30:$G$34,0)</f>
        <v>93.75</v>
      </c>
      <c r="V19" s="113">
        <f>T19*U19</f>
        <v>750</v>
      </c>
      <c r="W19" s="1"/>
      <c r="X19" s="1"/>
      <c r="Y19" s="1"/>
      <c r="Z19" s="1"/>
    </row>
    <row r="20" spans="1:26" ht="30" customHeight="1" x14ac:dyDescent="0.3">
      <c r="A20" s="1"/>
      <c r="B20" s="79">
        <v>14</v>
      </c>
      <c r="C20" s="74" t="s">
        <v>199</v>
      </c>
      <c r="D20" s="75" t="s">
        <v>200</v>
      </c>
      <c r="E20" s="79" t="s">
        <v>22</v>
      </c>
      <c r="F20" s="79" t="str">
        <f>_xlfn.XLOOKUP(E20,Calculations!$B$13:$B$18,Calculations!$C$13:$C$18,"No")</f>
        <v>Yes</v>
      </c>
      <c r="G20" s="85" t="s">
        <v>117</v>
      </c>
      <c r="H20" s="95">
        <v>0</v>
      </c>
      <c r="I20" s="95">
        <v>8</v>
      </c>
      <c r="J20" s="82" t="s">
        <v>32</v>
      </c>
      <c r="K20" s="89">
        <f>_xlfn.XLOOKUP(J20,Calculations!$E$13:$E$22,Calculations!$F$13:$F$22,0)</f>
        <v>10</v>
      </c>
      <c r="L20" s="89">
        <f>IF(F20="Yes",H20+I20*K20,0)</f>
        <v>80</v>
      </c>
      <c r="M20" s="90"/>
      <c r="N20" s="110">
        <f>IF(F20="Yes",IF(M20="",L20,M20),0)</f>
        <v>80</v>
      </c>
      <c r="O20" s="193">
        <f>MIN(P20*$O$4,0.95)</f>
        <v>0.35</v>
      </c>
      <c r="P20" s="99">
        <v>0.5</v>
      </c>
      <c r="Q20" s="193">
        <f>MIN(P20*$Q$4,0.95)</f>
        <v>0.625</v>
      </c>
      <c r="R20" s="100" cm="1">
        <f t="array" ref="R20">INDEX(O20:Q20,Calculations!$I$13)*(1-Inputs!$C$8)</f>
        <v>0.5</v>
      </c>
      <c r="S20" s="89">
        <f>N20*(1-R20)</f>
        <v>40</v>
      </c>
      <c r="T20" s="110">
        <f>N20-S20</f>
        <v>40</v>
      </c>
      <c r="U20" s="105">
        <f>_xlfn.XLOOKUP(G20,Inputs!$B$30:$B$34,Inputs!$G$30:$G$34,0)</f>
        <v>54.6875</v>
      </c>
      <c r="V20" s="113">
        <f>T20*U20</f>
        <v>2187.5</v>
      </c>
      <c r="W20" s="1"/>
      <c r="X20" s="1"/>
      <c r="Y20" s="1"/>
      <c r="Z20" s="1"/>
    </row>
    <row r="21" spans="1:26" ht="30" customHeight="1" x14ac:dyDescent="0.3">
      <c r="A21" s="1"/>
      <c r="B21" s="79">
        <v>15</v>
      </c>
      <c r="C21" s="74" t="s">
        <v>201</v>
      </c>
      <c r="D21" s="75" t="s">
        <v>202</v>
      </c>
      <c r="E21" s="79" t="s">
        <v>22</v>
      </c>
      <c r="F21" s="79" t="str">
        <f>_xlfn.XLOOKUP(E21,Calculations!$B$13:$B$18,Calculations!$C$13:$C$18,"No")</f>
        <v>Yes</v>
      </c>
      <c r="G21" s="85" t="s">
        <v>123</v>
      </c>
      <c r="H21" s="95">
        <v>10</v>
      </c>
      <c r="I21" s="95">
        <v>2</v>
      </c>
      <c r="J21" s="82" t="s">
        <v>33</v>
      </c>
      <c r="K21" s="89">
        <f>_xlfn.XLOOKUP(J21,Calculations!$E$13:$E$22,Calculations!$F$13:$F$22,0)</f>
        <v>20</v>
      </c>
      <c r="L21" s="89">
        <f>IF(F21="Yes",H21+I21*K21,0)</f>
        <v>50</v>
      </c>
      <c r="M21" s="90"/>
      <c r="N21" s="110">
        <f>IF(F21="Yes",IF(M21="",L21,M21),0)</f>
        <v>50</v>
      </c>
      <c r="O21" s="193">
        <f>MIN(P21*$O$4,0.95)</f>
        <v>0.35</v>
      </c>
      <c r="P21" s="99">
        <v>0.5</v>
      </c>
      <c r="Q21" s="193">
        <f>MIN(P21*$Q$4,0.95)</f>
        <v>0.625</v>
      </c>
      <c r="R21" s="100" cm="1">
        <f t="array" ref="R21">INDEX(O21:Q21,Calculations!$I$13)*(1-Inputs!$C$8)</f>
        <v>0.5</v>
      </c>
      <c r="S21" s="89">
        <f>N21*(1-R21)</f>
        <v>25</v>
      </c>
      <c r="T21" s="110">
        <f>N21-S21</f>
        <v>25</v>
      </c>
      <c r="U21" s="105">
        <f>_xlfn.XLOOKUP(G21,Inputs!$B$30:$B$34,Inputs!$G$30:$G$34,0)</f>
        <v>50.78125</v>
      </c>
      <c r="V21" s="113">
        <f>T21*U21</f>
        <v>1269.53125</v>
      </c>
      <c r="W21" s="1"/>
      <c r="X21" s="1"/>
      <c r="Y21" s="1"/>
      <c r="Z21" s="1"/>
    </row>
    <row r="22" spans="1:26" ht="30" customHeight="1" x14ac:dyDescent="0.3">
      <c r="A22" s="1"/>
      <c r="B22" s="79">
        <v>16</v>
      </c>
      <c r="C22" s="74" t="s">
        <v>105</v>
      </c>
      <c r="D22" s="75" t="s">
        <v>203</v>
      </c>
      <c r="E22" s="79" t="s">
        <v>21</v>
      </c>
      <c r="F22" s="79" t="str">
        <f>_xlfn.XLOOKUP(E22,Calculations!$B$13:$B$18,Calculations!$C$13:$C$18,"No")</f>
        <v>No</v>
      </c>
      <c r="G22" s="85" t="s">
        <v>117</v>
      </c>
      <c r="H22" s="95">
        <v>20</v>
      </c>
      <c r="I22" s="95">
        <v>16</v>
      </c>
      <c r="J22" s="82" t="s">
        <v>34</v>
      </c>
      <c r="K22" s="89">
        <f>_xlfn.XLOOKUP(J22,Calculations!$E$13:$E$22,Calculations!$F$13:$F$22,0)</f>
        <v>5</v>
      </c>
      <c r="L22" s="89">
        <f>IF(F22="Yes",H22+I22*K22,0)</f>
        <v>0</v>
      </c>
      <c r="M22" s="90"/>
      <c r="N22" s="110">
        <f>IF(F22="Yes",IF(M22="",L22,M22),0)</f>
        <v>0</v>
      </c>
      <c r="O22" s="193">
        <f>MIN(P22*$O$4,0.95)</f>
        <v>0.38500000000000001</v>
      </c>
      <c r="P22" s="99">
        <v>0.55000000000000004</v>
      </c>
      <c r="Q22" s="193">
        <f>MIN(P22*$Q$4,0.95)</f>
        <v>0.6875</v>
      </c>
      <c r="R22" s="100" cm="1">
        <f t="array" ref="R22">INDEX(O22:Q22,Calculations!$I$13)*(1-Inputs!$C$8)</f>
        <v>0.55000000000000004</v>
      </c>
      <c r="S22" s="89">
        <f>N22*(1-R22)</f>
        <v>0</v>
      </c>
      <c r="T22" s="110">
        <f>N22-S22</f>
        <v>0</v>
      </c>
      <c r="U22" s="105">
        <f>_xlfn.XLOOKUP(G22,Inputs!$B$30:$B$34,Inputs!$G$30:$G$34,0)</f>
        <v>54.6875</v>
      </c>
      <c r="V22" s="113">
        <f>T22*U22</f>
        <v>0</v>
      </c>
      <c r="W22" s="1"/>
      <c r="X22" s="1"/>
      <c r="Y22" s="1"/>
      <c r="Z22" s="1"/>
    </row>
    <row r="23" spans="1:26" ht="30" customHeight="1" x14ac:dyDescent="0.3">
      <c r="A23" s="1"/>
      <c r="B23" s="79">
        <v>17</v>
      </c>
      <c r="C23" s="74" t="s">
        <v>107</v>
      </c>
      <c r="D23" s="75" t="s">
        <v>204</v>
      </c>
      <c r="E23" s="79" t="s">
        <v>23</v>
      </c>
      <c r="F23" s="79" t="str">
        <f>_xlfn.XLOOKUP(E23,Calculations!$B$13:$B$18,Calculations!$C$13:$C$18,"No")</f>
        <v>Yes</v>
      </c>
      <c r="G23" s="85" t="s">
        <v>117</v>
      </c>
      <c r="H23" s="95">
        <v>40</v>
      </c>
      <c r="I23" s="95">
        <v>0</v>
      </c>
      <c r="J23" s="82" t="s">
        <v>26</v>
      </c>
      <c r="K23" s="89">
        <f>_xlfn.XLOOKUP(J23,Calculations!$E$13:$E$22,Calculations!$F$13:$F$22,0)</f>
        <v>0</v>
      </c>
      <c r="L23" s="89">
        <f>IF(F23="Yes",H23+I23*K23,0)</f>
        <v>40</v>
      </c>
      <c r="M23" s="90"/>
      <c r="N23" s="110">
        <f>IF(F23="Yes",IF(M23="",L23,M23),0)</f>
        <v>40</v>
      </c>
      <c r="O23" s="193">
        <f>MIN(P23*$O$4,0.95)</f>
        <v>0.24499999999999997</v>
      </c>
      <c r="P23" s="99">
        <v>0.35</v>
      </c>
      <c r="Q23" s="193">
        <f>MIN(P23*$Q$4,0.95)</f>
        <v>0.4375</v>
      </c>
      <c r="R23" s="100" cm="1">
        <f t="array" ref="R23">INDEX(O23:Q23,Calculations!$I$13)*(1-Inputs!$C$8)</f>
        <v>0.35</v>
      </c>
      <c r="S23" s="89">
        <f>N23*(1-R23)</f>
        <v>26</v>
      </c>
      <c r="T23" s="110">
        <f>N23-S23</f>
        <v>14</v>
      </c>
      <c r="U23" s="105">
        <f>_xlfn.XLOOKUP(G23,Inputs!$B$30:$B$34,Inputs!$G$30:$G$34,0)</f>
        <v>54.6875</v>
      </c>
      <c r="V23" s="113">
        <f>T23*U23</f>
        <v>765.625</v>
      </c>
      <c r="W23" s="1"/>
      <c r="X23" s="1"/>
      <c r="Y23" s="1"/>
      <c r="Z23" s="1"/>
    </row>
    <row r="24" spans="1:26" ht="30" customHeight="1" x14ac:dyDescent="0.3">
      <c r="A24" s="1"/>
      <c r="B24" s="80">
        <v>18</v>
      </c>
      <c r="C24" s="76" t="s">
        <v>205</v>
      </c>
      <c r="D24" s="77" t="s">
        <v>206</v>
      </c>
      <c r="E24" s="80" t="s">
        <v>18</v>
      </c>
      <c r="F24" s="80" t="str">
        <f>_xlfn.XLOOKUP(E24,Calculations!$B$13:$B$18,Calculations!$C$13:$C$18,"No")</f>
        <v>Yes</v>
      </c>
      <c r="G24" s="86" t="s">
        <v>117</v>
      </c>
      <c r="H24" s="96">
        <v>40</v>
      </c>
      <c r="I24" s="96">
        <v>0</v>
      </c>
      <c r="J24" s="83" t="s">
        <v>26</v>
      </c>
      <c r="K24" s="91">
        <f>_xlfn.XLOOKUP(J24,Calculations!$E$13:$E$22,Calculations!$F$13:$F$22,0)</f>
        <v>0</v>
      </c>
      <c r="L24" s="91">
        <f>IF(F24="Yes",H24+I24*K24,0)</f>
        <v>40</v>
      </c>
      <c r="M24" s="92"/>
      <c r="N24" s="111">
        <f>IF(F24="Yes",IF(M24="",L24,M24),0)</f>
        <v>40</v>
      </c>
      <c r="O24" s="194">
        <f>MIN(P24*$O$4,0.95)</f>
        <v>0.35</v>
      </c>
      <c r="P24" s="101">
        <v>0.5</v>
      </c>
      <c r="Q24" s="194">
        <f>MIN(P24*$Q$4,0.95)</f>
        <v>0.625</v>
      </c>
      <c r="R24" s="102" cm="1">
        <f t="array" ref="R24">INDEX(O24:Q24,Calculations!$I$13)*(1-Inputs!$C$8)</f>
        <v>0.5</v>
      </c>
      <c r="S24" s="91">
        <f>N24*(1-R24)</f>
        <v>20</v>
      </c>
      <c r="T24" s="111">
        <f>N24-S24</f>
        <v>20</v>
      </c>
      <c r="U24" s="106">
        <f>_xlfn.XLOOKUP(G24,Inputs!$B$30:$B$34,Inputs!$G$30:$G$34,0)</f>
        <v>54.6875</v>
      </c>
      <c r="V24" s="114">
        <f>T24*U24</f>
        <v>1093.75</v>
      </c>
      <c r="W24" s="1"/>
      <c r="X24" s="1"/>
      <c r="Y24" s="1"/>
      <c r="Z24" s="1"/>
    </row>
    <row r="25" spans="1:26" ht="22.05" customHeight="1" x14ac:dyDescent="0.3">
      <c r="A25" s="1"/>
      <c r="B25" s="14"/>
      <c r="C25" s="117" t="s">
        <v>207</v>
      </c>
      <c r="D25" s="14"/>
      <c r="E25" s="14"/>
      <c r="F25" s="14"/>
      <c r="G25" s="14"/>
      <c r="H25" s="14"/>
      <c r="I25" s="14"/>
      <c r="J25" s="14"/>
      <c r="K25" s="115"/>
      <c r="L25" s="115">
        <f>SUM(L7:L24)</f>
        <v>1930</v>
      </c>
      <c r="M25" s="115">
        <f>SUM(M7:M24)</f>
        <v>0</v>
      </c>
      <c r="N25" s="115">
        <f>SUM(N7:N24)</f>
        <v>1930</v>
      </c>
      <c r="O25" s="116"/>
      <c r="P25" s="116"/>
      <c r="Q25" s="116"/>
      <c r="R25" s="116">
        <f>IFERROR(1-S25/N25,0)</f>
        <v>0.52603626943005177</v>
      </c>
      <c r="S25" s="115">
        <f>SUM(S7:S24)</f>
        <v>914.75</v>
      </c>
      <c r="T25" s="115">
        <f>SUM(T7:T24)</f>
        <v>1015.25</v>
      </c>
      <c r="U25" s="14"/>
      <c r="V25" s="13">
        <f>SUM(V7:V24)</f>
        <v>54447.265625</v>
      </c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18" t="s">
        <v>208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3" t="s">
        <v>209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3" t="s">
        <v>210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3" t="s">
        <v>211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3" t="s">
        <v>212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3" t="s">
        <v>213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46" t="s">
        <v>308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46" t="s">
        <v>309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5">
    <mergeCell ref="B5:G5"/>
    <mergeCell ref="H5:L5"/>
    <mergeCell ref="M5:N5"/>
    <mergeCell ref="O5:R5"/>
    <mergeCell ref="S5:V5"/>
  </mergeCells>
  <conditionalFormatting sqref="B7:V24">
    <cfRule type="expression" dxfId="5" priority="1">
      <formula>$F7="No"</formula>
    </cfRule>
  </conditionalFormatting>
  <dataValidations count="2">
    <dataValidation type="decimal" allowBlank="1" showInputMessage="1" showErrorMessage="1" sqref="O7:Q24" xr:uid="{08211DDB-8E2C-4C3F-9170-82F342B030C9}">
      <formula1>0</formula1>
      <formula2>1</formula2>
    </dataValidation>
    <dataValidation type="decimal" operator="greaterThanOrEqual" allowBlank="1" showInputMessage="1" showErrorMessage="1" sqref="M7:M24" xr:uid="{6490FDEB-2F90-4590-80A4-5F744B00A56C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BB56FD-F2BC-4060-8D78-2D21CEA48BA7}">
          <x14:formula1>
            <xm:f>Inputs!$B$30:$B$34</xm:f>
          </x14:formula1>
          <xm:sqref>G7:G24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EA04-2DEC-4F87-9B7A-F6307842BAC8}">
  <sheetPr>
    <tabColor rgb="FF1B3A32"/>
  </sheetPr>
  <dimension ref="A1:Z211"/>
  <sheetViews>
    <sheetView showGridLines="0" zoomScale="85" zoomScaleNormal="85" workbookViewId="0">
      <selection activeCell="C118" sqref="C118"/>
    </sheetView>
  </sheetViews>
  <sheetFormatPr defaultRowHeight="14.4" x14ac:dyDescent="0.3"/>
  <cols>
    <col min="1" max="1" width="2.5546875" customWidth="1"/>
    <col min="2" max="2" width="50" customWidth="1"/>
    <col min="3" max="8" width="20.7773437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 x14ac:dyDescent="0.3">
      <c r="A2" s="1"/>
      <c r="B2" s="5" t="str">
        <f>"Business case: Footprint Intelligence for "&amp;Inputs!C6</f>
        <v>Business case: Footprint Intelligence for Your company</v>
      </c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05" customHeight="1" x14ac:dyDescent="0.3">
      <c r="A3" s="1"/>
      <c r="B3" s="6" t="str">
        <f>"Compared with today's approach ("&amp;Inputs!C7&amp;")  ·  Scenario: "&amp;Inputs!C10&amp;"  ·  Step 3 of 3 – Results"</f>
        <v>Compared with today's approach (Manual / Excel)  ·  Scenario: Expected  ·  Step 3 of 3 – Results</v>
      </c>
      <c r="C3" s="6"/>
      <c r="D3" s="6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9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95" customHeight="1" thickBot="1" x14ac:dyDescent="0.35">
      <c r="A5" s="1"/>
      <c r="B5" s="7" t="s">
        <v>214</v>
      </c>
      <c r="C5" s="7"/>
      <c r="D5" s="7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05" customHeight="1" thickTop="1" x14ac:dyDescent="0.3">
      <c r="A6" s="1"/>
      <c r="B6" s="120" t="s">
        <v>215</v>
      </c>
      <c r="C6" s="125" t="s">
        <v>216</v>
      </c>
      <c r="D6" s="129"/>
      <c r="E6" s="125" t="s">
        <v>217</v>
      </c>
      <c r="F6" s="129"/>
      <c r="G6" s="125" t="s">
        <v>218</v>
      </c>
      <c r="H6" s="12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0.049999999999997" customHeight="1" x14ac:dyDescent="0.3">
      <c r="A7" s="1"/>
      <c r="B7" s="131">
        <f>Calculations!F30</f>
        <v>1015.25</v>
      </c>
      <c r="C7" s="132">
        <f>Calculations!F36</f>
        <v>27947.265625</v>
      </c>
      <c r="D7" s="123"/>
      <c r="E7" s="133">
        <f>Calculations!F45</f>
        <v>0.18390723009044618</v>
      </c>
      <c r="F7" s="123"/>
      <c r="G7" s="122" t="str">
        <f>IF(ISNUMBER(Calculations!F48),Calculations!F48&amp;" months","&gt; 36 months")</f>
        <v>9 months</v>
      </c>
      <c r="H7" s="12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05" customHeight="1" thickBot="1" x14ac:dyDescent="0.35">
      <c r="A8" s="1"/>
      <c r="B8" s="121" t="str">
        <f>TEXT(Calculations!F49,"#,##0")&amp;" working days  ·  "&amp;TEXT(Calculations!F50,"0.0")&amp;" FTE"</f>
        <v>127 working days  ·  0.6 FTE</v>
      </c>
      <c r="C8" s="127" t="s">
        <v>219</v>
      </c>
      <c r="D8" s="130"/>
      <c r="E8" s="127" t="s">
        <v>220</v>
      </c>
      <c r="F8" s="130"/>
      <c r="G8" s="127" t="s">
        <v>221</v>
      </c>
      <c r="H8" s="1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Top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95" customHeight="1" x14ac:dyDescent="0.3">
      <c r="A10" s="1"/>
      <c r="B10" s="7" t="s">
        <v>222</v>
      </c>
      <c r="C10" s="7"/>
      <c r="D10" s="7"/>
      <c r="E10" s="7"/>
      <c r="F10" s="7"/>
      <c r="G10" s="7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3">
      <c r="A11" s="1"/>
      <c r="B11" s="9" t="s">
        <v>143</v>
      </c>
      <c r="C11" s="10" t="s">
        <v>223</v>
      </c>
      <c r="D11" s="10" t="s">
        <v>224</v>
      </c>
      <c r="E11" s="134" t="s">
        <v>225</v>
      </c>
      <c r="F11" s="134"/>
      <c r="G11" s="134"/>
      <c r="H11" s="13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">
      <c r="A12" s="1"/>
      <c r="B12" s="148" t="s">
        <v>226</v>
      </c>
      <c r="C12" s="107">
        <f>Calculations!F32*Inputs!C54</f>
        <v>32668.359375</v>
      </c>
      <c r="D12" s="107">
        <f>Calculations!F32</f>
        <v>54447.265625</v>
      </c>
      <c r="E12" s="138" t="s">
        <v>227</v>
      </c>
      <c r="F12" s="138"/>
      <c r="G12" s="138"/>
      <c r="H12" s="13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3">
      <c r="A13" s="1"/>
      <c r="B13" s="149" t="s">
        <v>228</v>
      </c>
      <c r="C13" s="108">
        <f>Inputs!C43-(Inputs!E43-Inputs!E42)</f>
        <v>12500</v>
      </c>
      <c r="D13" s="108">
        <f>C13</f>
        <v>12500</v>
      </c>
      <c r="E13" s="139" t="s">
        <v>229</v>
      </c>
      <c r="F13" s="139"/>
      <c r="G13" s="139"/>
      <c r="H13" s="13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3">
      <c r="A14" s="1"/>
      <c r="B14" s="149" t="s">
        <v>71</v>
      </c>
      <c r="C14" s="108">
        <f>-Inputs!E42</f>
        <v>-39000</v>
      </c>
      <c r="D14" s="108">
        <f>C14</f>
        <v>-39000</v>
      </c>
      <c r="E14" s="139" t="s">
        <v>230</v>
      </c>
      <c r="F14" s="139"/>
      <c r="G14" s="139"/>
      <c r="H14" s="13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3">
      <c r="A15" s="1"/>
      <c r="B15" s="150" t="s">
        <v>231</v>
      </c>
      <c r="C15" s="140">
        <f>-Calculations!F37</f>
        <v>-4375</v>
      </c>
      <c r="D15" s="140">
        <v>0</v>
      </c>
      <c r="E15" s="141" t="s">
        <v>232</v>
      </c>
      <c r="F15" s="141"/>
      <c r="G15" s="141"/>
      <c r="H15" s="14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51" t="s">
        <v>233</v>
      </c>
      <c r="C16" s="136">
        <f>SUM(C12:C15)</f>
        <v>1793.359375</v>
      </c>
      <c r="D16" s="136">
        <f>SUM(D12:D15)</f>
        <v>27947.265625</v>
      </c>
      <c r="E16" s="137"/>
      <c r="F16" s="137"/>
      <c r="G16" s="137"/>
      <c r="H16" s="13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5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95" customHeight="1" x14ac:dyDescent="0.3">
      <c r="A18" s="1"/>
      <c r="B18" s="52" t="s">
        <v>234</v>
      </c>
      <c r="C18" s="7"/>
      <c r="D18" s="7"/>
      <c r="E18" s="7"/>
      <c r="F18" s="7"/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x14ac:dyDescent="0.3">
      <c r="A19" s="1"/>
      <c r="B19" s="54" t="s">
        <v>311</v>
      </c>
      <c r="C19" s="10" t="s">
        <v>223</v>
      </c>
      <c r="D19" s="10" t="s">
        <v>312</v>
      </c>
      <c r="E19" s="10" t="s">
        <v>313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48" t="s">
        <v>226</v>
      </c>
      <c r="C20" s="39">
        <f>C12</f>
        <v>32668.359375</v>
      </c>
      <c r="D20" s="39">
        <f>2*D12</f>
        <v>108894.53125</v>
      </c>
      <c r="E20" s="39">
        <f>C20+D20</f>
        <v>141562.890625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49" t="s">
        <v>228</v>
      </c>
      <c r="C21" s="40">
        <f>C13</f>
        <v>12500</v>
      </c>
      <c r="D21" s="40">
        <f>2*D13</f>
        <v>25000</v>
      </c>
      <c r="E21" s="40">
        <f>C21+D21</f>
        <v>37500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49" t="s">
        <v>71</v>
      </c>
      <c r="C22" s="40">
        <f>C14</f>
        <v>-39000</v>
      </c>
      <c r="D22" s="40">
        <f>2*D14</f>
        <v>-78000</v>
      </c>
      <c r="E22" s="40">
        <f>C22+D22</f>
        <v>-117000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55" t="s">
        <v>231</v>
      </c>
      <c r="C23" s="41">
        <f>C15</f>
        <v>-4375</v>
      </c>
      <c r="D23" s="41">
        <v>0</v>
      </c>
      <c r="E23" s="41">
        <f>C23+D23</f>
        <v>-4375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56" t="s">
        <v>233</v>
      </c>
      <c r="C24" s="37">
        <f>SUM(C20:C23)</f>
        <v>1793.359375</v>
      </c>
      <c r="D24" s="37">
        <f>SUM(D20:D23)</f>
        <v>55894.53125</v>
      </c>
      <c r="E24" s="37">
        <f>SUM(E20:E23)</f>
        <v>57687.890625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99" t="s">
        <v>235</v>
      </c>
      <c r="C25" s="200"/>
      <c r="D25" s="200"/>
      <c r="E25" s="201">
        <f>Calculations!F45</f>
        <v>0.18390723009044618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202" t="s">
        <v>236</v>
      </c>
      <c r="C26" s="203"/>
      <c r="D26" s="203"/>
      <c r="E26" s="204">
        <f>Calculations!F47</f>
        <v>0.47528643151390321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52" t="s">
        <v>310</v>
      </c>
      <c r="C27" s="145"/>
      <c r="D27" s="145"/>
      <c r="E27" s="205">
        <f>IFERROR(MAX(0,-Calculations!F35)/Calculations!F32,0)</f>
        <v>0.48670947375973023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95" customHeight="1" x14ac:dyDescent="0.3">
      <c r="A28" s="1"/>
      <c r="B28" s="52" t="s">
        <v>237</v>
      </c>
      <c r="C28" s="7"/>
      <c r="D28" s="7"/>
      <c r="E28" s="7"/>
      <c r="F28" s="7"/>
      <c r="G28" s="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 x14ac:dyDescent="0.3">
      <c r="A29" s="1"/>
      <c r="B29" s="54" t="s">
        <v>40</v>
      </c>
      <c r="C29" s="10" t="s">
        <v>12</v>
      </c>
      <c r="D29" s="10" t="s">
        <v>13</v>
      </c>
      <c r="E29" s="10" t="s">
        <v>14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48" t="s">
        <v>238</v>
      </c>
      <c r="C30" s="142">
        <f>Calculations!C30</f>
        <v>710.67499999999995</v>
      </c>
      <c r="D30" s="142">
        <f>Calculations!D30</f>
        <v>1015.25</v>
      </c>
      <c r="E30" s="142">
        <f>Calculations!E30</f>
        <v>1269.0625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49" t="s">
        <v>239</v>
      </c>
      <c r="C31" s="40">
        <f>Calculations!C32</f>
        <v>38113.0859375</v>
      </c>
      <c r="D31" s="40">
        <f>Calculations!D32</f>
        <v>54447.265625</v>
      </c>
      <c r="E31" s="40">
        <f>Calculations!E32</f>
        <v>68059.08203125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49" t="s">
        <v>240</v>
      </c>
      <c r="C32" s="40">
        <f>Calculations!C35</f>
        <v>-26500</v>
      </c>
      <c r="D32" s="40">
        <f>Calculations!D35</f>
        <v>-26500</v>
      </c>
      <c r="E32" s="40">
        <f>Calculations!E35</f>
        <v>-26500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49" t="s">
        <v>241</v>
      </c>
      <c r="C33" s="40">
        <f>Calculations!C36</f>
        <v>11613.0859375</v>
      </c>
      <c r="D33" s="40">
        <f>Calculations!D36</f>
        <v>27947.265625</v>
      </c>
      <c r="E33" s="40">
        <f>Calculations!E36</f>
        <v>41559.08203125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49" t="s">
        <v>52</v>
      </c>
      <c r="C34" s="40">
        <f>Calculations!C38</f>
        <v>-8007.1484375</v>
      </c>
      <c r="D34" s="40">
        <f>Calculations!D38</f>
        <v>1793.359375</v>
      </c>
      <c r="E34" s="40">
        <f>Calculations!E38</f>
        <v>9960.44921875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49" t="s">
        <v>58</v>
      </c>
      <c r="C35" s="40">
        <f>Calculations!C44</f>
        <v>15219.0234375</v>
      </c>
      <c r="D35" s="40">
        <f>Calculations!D44</f>
        <v>57687.890625</v>
      </c>
      <c r="E35" s="40">
        <f>Calculations!E44</f>
        <v>93078.61328125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49" t="s">
        <v>217</v>
      </c>
      <c r="C36" s="143">
        <f>Calculations!C45</f>
        <v>4.2732281036914829E-2</v>
      </c>
      <c r="D36" s="143">
        <f>Calculations!D45</f>
        <v>0.18390723009044618</v>
      </c>
      <c r="E36" s="143">
        <f>Calculations!E45</f>
        <v>0.33446796564520515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50" t="s">
        <v>242</v>
      </c>
      <c r="C37" s="144">
        <f>Calculations!C48</f>
        <v>21</v>
      </c>
      <c r="D37" s="144">
        <f>Calculations!D48</f>
        <v>9</v>
      </c>
      <c r="E37" s="144">
        <f>Calculations!E48</f>
        <v>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95" customHeight="1" x14ac:dyDescent="0.3">
      <c r="B39" s="180" t="s">
        <v>302</v>
      </c>
      <c r="C39" s="7"/>
      <c r="D39" s="7"/>
      <c r="E39" s="7"/>
      <c r="F39" s="7"/>
      <c r="G39" s="7"/>
      <c r="H39" s="7"/>
    </row>
    <row r="40" spans="1:26" ht="30" customHeight="1" x14ac:dyDescent="0.3">
      <c r="B40" s="181" t="s">
        <v>314</v>
      </c>
      <c r="C40" s="182" t="s">
        <v>303</v>
      </c>
      <c r="D40" s="182" t="s">
        <v>70</v>
      </c>
      <c r="E40" s="182" t="s">
        <v>304</v>
      </c>
    </row>
    <row r="41" spans="1:26" ht="18" customHeight="1" x14ac:dyDescent="0.3">
      <c r="B41" s="185" t="s">
        <v>315</v>
      </c>
      <c r="C41" s="186">
        <f>Calculations!F32*Inputs!C60*(Inputs!C54+2)</f>
        <v>84937.734375</v>
      </c>
      <c r="D41" s="186">
        <f>E20</f>
        <v>141562.890625</v>
      </c>
      <c r="E41" s="186">
        <f>D41-C41</f>
        <v>56625.15625</v>
      </c>
    </row>
    <row r="42" spans="1:26" ht="18" customHeight="1" x14ac:dyDescent="0.3">
      <c r="B42" s="187" t="s">
        <v>228</v>
      </c>
      <c r="C42" s="188">
        <f>3*(Inputs!C43-(Inputs!E43-Inputs!E42)-Inputs!C61)</f>
        <v>22500</v>
      </c>
      <c r="D42" s="188">
        <f>E21</f>
        <v>37500</v>
      </c>
      <c r="E42" s="188">
        <f>D42-C42</f>
        <v>15000</v>
      </c>
    </row>
    <row r="43" spans="1:26" ht="18" customHeight="1" x14ac:dyDescent="0.3">
      <c r="B43" s="187" t="s">
        <v>305</v>
      </c>
      <c r="C43" s="188">
        <f>-3*Inputs!C58</f>
        <v>-60000</v>
      </c>
      <c r="D43" s="188">
        <f>E22</f>
        <v>-117000</v>
      </c>
      <c r="E43" s="188">
        <f>D43-C43</f>
        <v>-57000</v>
      </c>
    </row>
    <row r="44" spans="1:26" ht="18" customHeight="1" x14ac:dyDescent="0.3">
      <c r="B44" s="189" t="s">
        <v>231</v>
      </c>
      <c r="C44" s="190">
        <f>-(Inputs!C59+Inputs!D48+Inputs!D49+Inputs!D50)</f>
        <v>-4375</v>
      </c>
      <c r="D44" s="190">
        <f>E23</f>
        <v>-4375</v>
      </c>
      <c r="E44" s="190">
        <f>D44-C44</f>
        <v>0</v>
      </c>
    </row>
    <row r="45" spans="1:26" ht="18" customHeight="1" x14ac:dyDescent="0.3">
      <c r="B45" s="183" t="s">
        <v>316</v>
      </c>
      <c r="C45" s="184">
        <f>SUM(C41:C44)</f>
        <v>43062.734375</v>
      </c>
      <c r="D45" s="184">
        <f>SUM(D41:D44)</f>
        <v>57687.890625</v>
      </c>
      <c r="E45" s="184">
        <f>D45-C45</f>
        <v>14625.15625</v>
      </c>
    </row>
    <row r="46" spans="1:26" ht="18" customHeight="1" x14ac:dyDescent="0.3">
      <c r="B46" s="191" t="s">
        <v>317</v>
      </c>
    </row>
    <row r="50" spans="1:26" ht="19.95" customHeight="1" x14ac:dyDescent="0.3">
      <c r="A50" s="1"/>
      <c r="B50" s="7" t="s">
        <v>243</v>
      </c>
      <c r="C50" s="7"/>
      <c r="D50" s="7"/>
      <c r="E50" s="7"/>
      <c r="F50" s="7"/>
      <c r="G50" s="7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95" customHeight="1" x14ac:dyDescent="0.3">
      <c r="A97" s="1"/>
      <c r="B97" s="7" t="s">
        <v>244</v>
      </c>
      <c r="C97" s="7"/>
      <c r="D97" s="7"/>
      <c r="E97" s="7"/>
      <c r="F97" s="7"/>
      <c r="G97" s="7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46" t="s">
        <v>245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46" t="s">
        <v>246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46" t="s">
        <v>247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46" t="s">
        <v>248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46" t="s">
        <v>249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46" t="s">
        <v>250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4" t="s">
        <v>251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4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95" customHeight="1" x14ac:dyDescent="0.3">
      <c r="A106" s="1"/>
      <c r="B106" s="147" t="s">
        <v>252</v>
      </c>
      <c r="C106" s="7"/>
      <c r="D106" s="7"/>
      <c r="E106" s="7"/>
      <c r="F106" s="7"/>
      <c r="G106" s="7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46" t="s">
        <v>253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46" t="s">
        <v>254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46" t="s">
        <v>255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46" t="s">
        <v>256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46" t="s">
        <v>257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4" t="s">
        <v>258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</sheetData>
  <mergeCells count="15">
    <mergeCell ref="E14:H14"/>
    <mergeCell ref="E15:H15"/>
    <mergeCell ref="E16:H16"/>
    <mergeCell ref="C8:D8"/>
    <mergeCell ref="E8:F8"/>
    <mergeCell ref="G8:H8"/>
    <mergeCell ref="E11:H11"/>
    <mergeCell ref="E12:H12"/>
    <mergeCell ref="E13:H13"/>
    <mergeCell ref="C6:D6"/>
    <mergeCell ref="E6:F6"/>
    <mergeCell ref="G6:H6"/>
    <mergeCell ref="C7:D7"/>
    <mergeCell ref="E7:F7"/>
    <mergeCell ref="G7:H7"/>
  </mergeCells>
  <conditionalFormatting sqref="C12:D16">
    <cfRule type="cellIs" dxfId="3" priority="2" operator="lessThan">
      <formula>0</formula>
    </cfRule>
  </conditionalFormatting>
  <conditionalFormatting sqref="E20:E24">
    <cfRule type="cellIs" dxfId="2" priority="3" operator="lessThan">
      <formula>0</formula>
    </cfRule>
  </conditionalFormatting>
  <conditionalFormatting sqref="C31:E35">
    <cfRule type="cellIs" dxfId="1" priority="4" operator="lessThan">
      <formula>0</formula>
    </cfRule>
  </conditionalFormatting>
  <conditionalFormatting sqref="E41:E45">
    <cfRule type="cellIs" dxfId="0" priority="5" operator="lessThan">
      <formula>0</formula>
    </cfRule>
  </conditionalFormatting>
  <conditionalFormatting sqref="B4">
    <cfRule type="expression" priority="6">
      <formula>ISERROR(SEARCH("passed",$B$4))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BDAE9E3-3A60-4C56-A7E9-84AD9F310823}">
            <xm:f>C$29=Inputs!$C$10</xm:f>
            <x14:dxf>
              <font>
                <b/>
                <i val="0"/>
              </font>
              <fill>
                <patternFill patternType="solid">
                  <fgColor indexed="64"/>
                  <bgColor rgb="FFD5EDDF"/>
                </patternFill>
              </fill>
            </x14:dxf>
          </x14:cfRule>
          <xm:sqref>C29:E37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C46F-C576-478C-8D60-DDC08F56D6D2}">
  <sheetPr>
    <tabColor rgb="FFA6A6A6"/>
  </sheetPr>
  <dimension ref="A1:Z200"/>
  <sheetViews>
    <sheetView showGridLines="0" workbookViewId="0"/>
  </sheetViews>
  <sheetFormatPr defaultRowHeight="14.4" x14ac:dyDescent="0.3"/>
  <cols>
    <col min="1" max="1" width="2.5546875" customWidth="1"/>
    <col min="2" max="2" width="48.109375" customWidth="1"/>
    <col min="3" max="9" width="17.554687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35">
      <c r="A2" s="1"/>
      <c r="B2" s="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4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8" t="s">
        <v>5</v>
      </c>
      <c r="C5" s="8"/>
      <c r="D5" s="8" t="s">
        <v>10</v>
      </c>
      <c r="E5" s="8"/>
      <c r="F5" s="8" t="s">
        <v>11</v>
      </c>
      <c r="G5" s="8"/>
      <c r="H5" s="8" t="s">
        <v>15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 t="s">
        <v>6</v>
      </c>
      <c r="C6" s="1"/>
      <c r="D6" s="1" t="s">
        <v>1</v>
      </c>
      <c r="E6" s="1"/>
      <c r="F6" s="1" t="s">
        <v>12</v>
      </c>
      <c r="G6" s="1"/>
      <c r="H6" s="1"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 t="s">
        <v>7</v>
      </c>
      <c r="C7" s="1"/>
      <c r="D7" s="1" t="s">
        <v>2</v>
      </c>
      <c r="E7" s="1"/>
      <c r="F7" s="1" t="s">
        <v>13</v>
      </c>
      <c r="G7" s="1"/>
      <c r="H7" s="1">
        <v>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 t="s">
        <v>8</v>
      </c>
      <c r="C8" s="1"/>
      <c r="D8" s="1"/>
      <c r="E8" s="1"/>
      <c r="F8" s="1" t="s">
        <v>14</v>
      </c>
      <c r="G8" s="1"/>
      <c r="H8" s="1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 t="s">
        <v>9</v>
      </c>
      <c r="C9" s="1"/>
      <c r="D9" s="1"/>
      <c r="E9" s="1"/>
      <c r="F9" s="1"/>
      <c r="G9" s="1"/>
      <c r="H9" s="1">
        <v>12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8" t="s">
        <v>16</v>
      </c>
      <c r="C12" s="8" t="s">
        <v>17</v>
      </c>
      <c r="D12" s="1"/>
      <c r="E12" s="8" t="s">
        <v>24</v>
      </c>
      <c r="F12" s="8" t="s">
        <v>25</v>
      </c>
      <c r="G12" s="1"/>
      <c r="H12" s="8" t="s">
        <v>36</v>
      </c>
      <c r="I12" s="8" t="s">
        <v>37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" t="s">
        <v>18</v>
      </c>
      <c r="C13" s="1" t="s">
        <v>1</v>
      </c>
      <c r="D13" s="1"/>
      <c r="E13" s="1" t="s">
        <v>26</v>
      </c>
      <c r="F13" s="1">
        <v>0</v>
      </c>
      <c r="G13" s="1"/>
      <c r="H13" s="1" t="s">
        <v>38</v>
      </c>
      <c r="I13" s="1">
        <f>MATCH(Inputs!C10,$F$6:$F$8,0)</f>
        <v>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1" t="s">
        <v>19</v>
      </c>
      <c r="C14" s="1" t="str">
        <f>Inputs!C21</f>
        <v>Yes</v>
      </c>
      <c r="D14" s="1"/>
      <c r="E14" s="1" t="s">
        <v>27</v>
      </c>
      <c r="F14" s="1">
        <f>Inputs!C14*Inputs!C9</f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 t="s">
        <v>20</v>
      </c>
      <c r="C15" s="1" t="str">
        <f>Inputs!C22</f>
        <v>Yes</v>
      </c>
      <c r="D15" s="1"/>
      <c r="E15" s="1" t="s">
        <v>28</v>
      </c>
      <c r="F15" s="1">
        <f>Inputs!C13*Inputs!C9</f>
        <v>5</v>
      </c>
      <c r="G15" s="1"/>
      <c r="H15" s="1" t="s">
        <v>75</v>
      </c>
      <c r="I15" s="1" t="b">
        <f>ROUND(F32-Activities!V25,2)=0</f>
        <v>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" t="s">
        <v>21</v>
      </c>
      <c r="C16" s="1" t="str">
        <f>Inputs!C23</f>
        <v>No</v>
      </c>
      <c r="D16" s="1"/>
      <c r="E16" s="1" t="s">
        <v>29</v>
      </c>
      <c r="F16" s="1">
        <f>Inputs!C31*Inputs!C9</f>
        <v>25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 t="s">
        <v>22</v>
      </c>
      <c r="C17" s="1" t="str">
        <f>Inputs!C24</f>
        <v>Yes</v>
      </c>
      <c r="D17" s="1"/>
      <c r="E17" s="1" t="s">
        <v>30</v>
      </c>
      <c r="F17" s="1">
        <f>Inputs!C13</f>
        <v>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 t="s">
        <v>23</v>
      </c>
      <c r="C18" s="1" t="str">
        <f>Inputs!C25</f>
        <v>Yes</v>
      </c>
      <c r="D18" s="1"/>
      <c r="E18" s="1" t="s">
        <v>31</v>
      </c>
      <c r="F18" s="1">
        <f>Inputs!C15</f>
        <v>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D19" s="1"/>
      <c r="E19" s="1" t="s">
        <v>32</v>
      </c>
      <c r="F19" s="1">
        <f>Inputs!C16</f>
        <v>10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 t="s">
        <v>33</v>
      </c>
      <c r="F20" s="1">
        <f>Inputs!C17</f>
        <v>20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 t="s">
        <v>34</v>
      </c>
      <c r="F21" s="1">
        <f>Inputs!C18</f>
        <v>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 t="s">
        <v>35</v>
      </c>
      <c r="F22" s="1">
        <f>Inputs!C9</f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18" t="s">
        <v>39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8" t="s">
        <v>40</v>
      </c>
      <c r="C27" s="8" t="s">
        <v>12</v>
      </c>
      <c r="D27" s="8" t="s">
        <v>13</v>
      </c>
      <c r="E27" s="8" t="s">
        <v>14</v>
      </c>
      <c r="F27" s="8" t="s">
        <v>41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 t="s">
        <v>42</v>
      </c>
      <c r="C28" s="1">
        <v>1</v>
      </c>
      <c r="D28" s="1">
        <v>2</v>
      </c>
      <c r="E28" s="1">
        <v>3</v>
      </c>
      <c r="F28" s="119">
        <f>I13</f>
        <v>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 t="s">
        <v>43</v>
      </c>
      <c r="C29" s="93">
        <f>SUM(Activities!$N$7:$N$24)</f>
        <v>1930</v>
      </c>
      <c r="D29" s="93">
        <f>SUM(Activities!$N$7:$N$24)</f>
        <v>1930</v>
      </c>
      <c r="E29" s="93">
        <f>SUM(Activities!$N$7:$N$24)</f>
        <v>1930</v>
      </c>
      <c r="F29" s="173" cm="1">
        <f t="array" ref="F29">INDEX(C29:E29,$I$13)</f>
        <v>1930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 t="s">
        <v>44</v>
      </c>
      <c r="C30" s="93">
        <f>SUMPRODUCT(Activities!$N$7:$N$24,INDEX(Activities!$O$7:$Q$24,0,C$28))*(1-Inputs!$C$8)</f>
        <v>710.67499999999995</v>
      </c>
      <c r="D30" s="93">
        <f>SUMPRODUCT(Activities!$N$7:$N$24,INDEX(Activities!$O$7:$Q$24,0,D$28))*(1-Inputs!$C$8)</f>
        <v>1015.25</v>
      </c>
      <c r="E30" s="93">
        <f>SUMPRODUCT(Activities!$N$7:$N$24,INDEX(Activities!$O$7:$Q$24,0,E$28))*(1-Inputs!$C$8)</f>
        <v>1269.0625</v>
      </c>
      <c r="F30" s="173" cm="1">
        <f t="array" ref="F30">INDEX(C30:E30,$I$13)</f>
        <v>1015.25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 t="s">
        <v>45</v>
      </c>
      <c r="C31" s="12">
        <f>SUMPRODUCT(Activities!$N$7:$N$24,Activities!$U$7:$U$24)</f>
        <v>103789.0625</v>
      </c>
      <c r="D31" s="12">
        <f>SUMPRODUCT(Activities!$N$7:$N$24,Activities!$U$7:$U$24)</f>
        <v>103789.0625</v>
      </c>
      <c r="E31" s="12">
        <f>SUMPRODUCT(Activities!$N$7:$N$24,Activities!$U$7:$U$24)</f>
        <v>103789.0625</v>
      </c>
      <c r="F31" s="174" cm="1">
        <f t="array" ref="F31">INDEX(C31:E31,$I$13)</f>
        <v>103789.0625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 t="s">
        <v>46</v>
      </c>
      <c r="C32" s="12">
        <f>SUMPRODUCT(Activities!$N$7:$N$24,INDEX(Activities!$O$7:$Q$24,0,C$28),Activities!$U$7:$U$24)*(1-Inputs!$C$8)</f>
        <v>38113.0859375</v>
      </c>
      <c r="D32" s="12">
        <f>SUMPRODUCT(Activities!$N$7:$N$24,INDEX(Activities!$O$7:$Q$24,0,D$28),Activities!$U$7:$U$24)*(1-Inputs!$C$8)</f>
        <v>54447.265625</v>
      </c>
      <c r="E32" s="12">
        <f>SUMPRODUCT(Activities!$N$7:$N$24,INDEX(Activities!$O$7:$Q$24,0,E$28),Activities!$U$7:$U$24)*(1-Inputs!$C$8)</f>
        <v>68059.08203125</v>
      </c>
      <c r="F32" s="174" cm="1">
        <f t="array" ref="F32">INDEX(C32:E32,$I$13)</f>
        <v>54447.265625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 t="s">
        <v>47</v>
      </c>
      <c r="C33" s="12">
        <f>Inputs!$C$43</f>
        <v>20000</v>
      </c>
      <c r="D33" s="12">
        <f>Inputs!$C$43</f>
        <v>20000</v>
      </c>
      <c r="E33" s="12">
        <f>Inputs!$C$43</f>
        <v>20000</v>
      </c>
      <c r="F33" s="174" cm="1">
        <f t="array" ref="F33">INDEX(C33:E33,$I$13)</f>
        <v>20000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 t="s">
        <v>48</v>
      </c>
      <c r="C34" s="12">
        <f>Inputs!$E$43</f>
        <v>46500</v>
      </c>
      <c r="D34" s="12">
        <f>Inputs!$E$43</f>
        <v>46500</v>
      </c>
      <c r="E34" s="12">
        <f>Inputs!$E$43</f>
        <v>46500</v>
      </c>
      <c r="F34" s="174" cm="1">
        <f t="array" ref="F34">INDEX(C34:E34,$I$13)</f>
        <v>46500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 t="s">
        <v>49</v>
      </c>
      <c r="C35" s="12">
        <f>C33-C34</f>
        <v>-26500</v>
      </c>
      <c r="D35" s="12">
        <f>D33-D34</f>
        <v>-26500</v>
      </c>
      <c r="E35" s="12">
        <f>E33-E34</f>
        <v>-26500</v>
      </c>
      <c r="F35" s="174" cm="1">
        <f t="array" ref="F35">INDEX(C35:E35,$I$13)</f>
        <v>-26500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 t="s">
        <v>50</v>
      </c>
      <c r="C36" s="12">
        <f>C32+C35</f>
        <v>11613.0859375</v>
      </c>
      <c r="D36" s="12">
        <f>D32+D35</f>
        <v>27947.265625</v>
      </c>
      <c r="E36" s="12">
        <f>E32+E35</f>
        <v>41559.08203125</v>
      </c>
      <c r="F36" s="174" cm="1">
        <f t="array" ref="F36">INDEX(C36:E36,$I$13)</f>
        <v>27947.265625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 t="s">
        <v>51</v>
      </c>
      <c r="C37" s="12">
        <f>Inputs!$D$51</f>
        <v>4375</v>
      </c>
      <c r="D37" s="12">
        <f>Inputs!$D$51</f>
        <v>4375</v>
      </c>
      <c r="E37" s="12">
        <f>Inputs!$D$51</f>
        <v>4375</v>
      </c>
      <c r="F37" s="174" cm="1">
        <f t="array" ref="F37">INDEX(C37:E37,$I$13)</f>
        <v>4375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 t="s">
        <v>52</v>
      </c>
      <c r="C38" s="12">
        <f>C32*Inputs!$C$54+C35-C37</f>
        <v>-8007.1484375</v>
      </c>
      <c r="D38" s="12">
        <f>D32*Inputs!$C$54+D35-D37</f>
        <v>1793.359375</v>
      </c>
      <c r="E38" s="12">
        <f>E32*Inputs!$C$54+E35-E37</f>
        <v>9960.44921875</v>
      </c>
      <c r="F38" s="174" cm="1">
        <f t="array" ref="F38">INDEX(C38:E38,$I$13)</f>
        <v>1793.359375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 t="s">
        <v>53</v>
      </c>
      <c r="C39" s="12">
        <f>C31+C33</f>
        <v>123789.0625</v>
      </c>
      <c r="D39" s="12">
        <f>D31+D33</f>
        <v>123789.0625</v>
      </c>
      <c r="E39" s="12">
        <f>E31+E33</f>
        <v>123789.0625</v>
      </c>
      <c r="F39" s="174" cm="1">
        <f t="array" ref="F39">INDEX(C39:E39,$I$13)</f>
        <v>123789.0625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 t="s">
        <v>54</v>
      </c>
      <c r="C40" s="12">
        <f>C31-C32+C34</f>
        <v>112175.9765625</v>
      </c>
      <c r="D40" s="12">
        <f>D31-D32+D34</f>
        <v>95841.796875</v>
      </c>
      <c r="E40" s="12">
        <f>E31-E32+E34</f>
        <v>82229.98046875</v>
      </c>
      <c r="F40" s="174" cm="1">
        <f t="array" ref="F40">INDEX(C40:E40,$I$13)</f>
        <v>95841.796875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 t="s">
        <v>55</v>
      </c>
      <c r="C41" s="12">
        <f>C31-C32*Inputs!$C$54+C34+C37</f>
        <v>131796.2109375</v>
      </c>
      <c r="D41" s="12">
        <f>D31-D32*Inputs!$C$54+D34+D37</f>
        <v>121995.703125</v>
      </c>
      <c r="E41" s="12">
        <f>E31-E32*Inputs!$C$54+E34+E37</f>
        <v>113828.61328125</v>
      </c>
      <c r="F41" s="174" cm="1">
        <f t="array" ref="F41">INDEX(C41:E41,$I$13)</f>
        <v>121995.703125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 t="s">
        <v>56</v>
      </c>
      <c r="C42" s="12">
        <f>3*C39</f>
        <v>371367.1875</v>
      </c>
      <c r="D42" s="12">
        <f>3*D39</f>
        <v>371367.1875</v>
      </c>
      <c r="E42" s="12">
        <f>3*E39</f>
        <v>371367.1875</v>
      </c>
      <c r="F42" s="174" cm="1">
        <f t="array" ref="F42">INDEX(C42:E42,$I$13)</f>
        <v>371367.1875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 t="s">
        <v>57</v>
      </c>
      <c r="C43" s="12">
        <f>C41+2*C40</f>
        <v>356148.1640625</v>
      </c>
      <c r="D43" s="12">
        <f>D41+2*D40</f>
        <v>313679.296875</v>
      </c>
      <c r="E43" s="12">
        <f>E41+2*E40</f>
        <v>278288.57421875</v>
      </c>
      <c r="F43" s="174" cm="1">
        <f t="array" ref="F43">INDEX(C43:E43,$I$13)</f>
        <v>313679.296875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 t="s">
        <v>58</v>
      </c>
      <c r="C44" s="12">
        <f>C42-C43</f>
        <v>15219.0234375</v>
      </c>
      <c r="D44" s="12">
        <f>D42-D43</f>
        <v>57687.890625</v>
      </c>
      <c r="E44" s="12">
        <f>E42-E43</f>
        <v>93078.61328125</v>
      </c>
      <c r="F44" s="174" cm="1">
        <f t="array" ref="F44">INDEX(C44:E44,$I$13)</f>
        <v>57687.890625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 t="s">
        <v>59</v>
      </c>
      <c r="C45" s="103">
        <f>IFERROR(C44/C43,0)</f>
        <v>4.2732281036914829E-2</v>
      </c>
      <c r="D45" s="103">
        <f>IFERROR(D44/D43,0)</f>
        <v>0.18390723009044618</v>
      </c>
      <c r="E45" s="103">
        <f>IFERROR(E44/E43,0)</f>
        <v>0.33446796564520515</v>
      </c>
      <c r="F45" s="175" cm="1">
        <f t="array" ref="F45">INDEX(C45:E45,$I$13)</f>
        <v>0.18390723009044618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 t="s">
        <v>60</v>
      </c>
      <c r="C46" s="12">
        <f>3*Inputs!$E$42+C37</f>
        <v>121375</v>
      </c>
      <c r="D46" s="12">
        <f>3*Inputs!$E$42+D37</f>
        <v>121375</v>
      </c>
      <c r="E46" s="12">
        <f>3*Inputs!$E$42+E37</f>
        <v>121375</v>
      </c>
      <c r="F46" s="174" cm="1">
        <f t="array" ref="F46">INDEX(C46:E46,$I$13)</f>
        <v>121375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 t="s">
        <v>61</v>
      </c>
      <c r="C47" s="171">
        <f>IFERROR(C44/C46,0)</f>
        <v>0.12538845262615861</v>
      </c>
      <c r="D47" s="171">
        <f>IFERROR(D44/D46,0)</f>
        <v>0.47528643151390321</v>
      </c>
      <c r="E47" s="171">
        <f>IFERROR(E44/E46,0)</f>
        <v>0.76686808058702371</v>
      </c>
      <c r="F47" s="176" cm="1">
        <f t="array" ref="F47">INDEX(C47:E47,$I$13)</f>
        <v>0.47528643151390321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 t="s">
        <v>62</v>
      </c>
      <c r="C48" s="1" cm="1">
        <f t="array" ref="C48">IFERROR(_xlfn.XMATCH(TRUE,C$54:C$89&gt;=0),"&gt; 36")</f>
        <v>21</v>
      </c>
      <c r="D48" s="1" cm="1">
        <f t="array" ref="D48">IFERROR(_xlfn.XMATCH(TRUE,D$54:D$89&gt;=0),"&gt; 36")</f>
        <v>9</v>
      </c>
      <c r="E48" s="1" cm="1">
        <f t="array" ref="E48">IFERROR(_xlfn.XMATCH(TRUE,E$54:E$89&gt;=0),"&gt; 36")</f>
        <v>4</v>
      </c>
      <c r="F48" s="119" cm="1">
        <f t="array" ref="F48">INDEX(C48:E48,$I$13)</f>
        <v>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 t="s">
        <v>63</v>
      </c>
      <c r="C49" s="93">
        <f>C30/8</f>
        <v>88.834374999999994</v>
      </c>
      <c r="D49" s="93">
        <f>D30/8</f>
        <v>126.90625</v>
      </c>
      <c r="E49" s="93">
        <f>E30/8</f>
        <v>158.6328125</v>
      </c>
      <c r="F49" s="173" cm="1">
        <f t="array" ref="F49">INDEX(C49:E49,$I$13)</f>
        <v>126.90625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 t="s">
        <v>64</v>
      </c>
      <c r="C50" s="172">
        <f>IFERROR(C30/Inputs!$F$30,0)</f>
        <v>0.44417187499999999</v>
      </c>
      <c r="D50" s="172">
        <f>IFERROR(D30/Inputs!$F$30,0)</f>
        <v>0.63453124999999999</v>
      </c>
      <c r="E50" s="172">
        <f>IFERROR(E30/Inputs!$F$30,0)</f>
        <v>0.79316406250000004</v>
      </c>
      <c r="F50" s="177" cm="1">
        <f t="array" ref="F50">INDEX(C50:E50,$I$13)</f>
        <v>0.63453124999999999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18" t="s">
        <v>65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8" t="s">
        <v>66</v>
      </c>
      <c r="C53" s="8" t="s">
        <v>12</v>
      </c>
      <c r="D53" s="8" t="s">
        <v>13</v>
      </c>
      <c r="E53" s="8" t="s">
        <v>14</v>
      </c>
      <c r="F53" s="8" t="s">
        <v>67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>
        <v>1</v>
      </c>
      <c r="C54" s="12">
        <f>N(C53)+(IF($F54=1,C$32*Inputs!$C$54,C$32)+C$35)/12-IF($B54=1,C$37,0)</f>
        <v>-4677.679036458333</v>
      </c>
      <c r="D54" s="12">
        <f>N(D53)+(IF($F54=1,D$32*Inputs!$C$54,D$32)+D$35)/12-IF($B54=1,D$37,0)</f>
        <v>-3860.9700520833335</v>
      </c>
      <c r="E54" s="12">
        <f>N(E53)+(IF($F54=1,E$32*Inputs!$C$54,E$32)+E$35)/12-IF($B54=1,E$37,0)</f>
        <v>-3180.379231770833</v>
      </c>
      <c r="F54" s="1">
        <f>ROUNDUP(B54/12,0)</f>
        <v>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>
        <v>2</v>
      </c>
      <c r="C55" s="12">
        <f>N(C54)+(IF($F55=1,C$32*Inputs!$C$54,C$32)+C$35)/12-IF($B55=1,C$37,0)</f>
        <v>-4980.3580729166661</v>
      </c>
      <c r="D55" s="12">
        <f>N(D54)+(IF($F55=1,D$32*Inputs!$C$54,D$32)+D$35)/12-IF($B55=1,D$37,0)</f>
        <v>-3346.940104166667</v>
      </c>
      <c r="E55" s="12">
        <f>N(E54)+(IF($F55=1,E$32*Inputs!$C$54,E$32)+E$35)/12-IF($B55=1,E$37,0)</f>
        <v>-1985.7584635416663</v>
      </c>
      <c r="F55" s="1">
        <f>ROUNDUP(B55/12,0)</f>
        <v>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>
        <v>3</v>
      </c>
      <c r="C56" s="12">
        <f>N(C55)+(IF($F56=1,C$32*Inputs!$C$54,C$32)+C$35)/12-IF($B56=1,C$37,0)</f>
        <v>-5283.0371093749991</v>
      </c>
      <c r="D56" s="12">
        <f>N(D55)+(IF($F56=1,D$32*Inputs!$C$54,D$32)+D$35)/12-IF($B56=1,D$37,0)</f>
        <v>-2832.9101562500005</v>
      </c>
      <c r="E56" s="12">
        <f>N(E55)+(IF($F56=1,E$32*Inputs!$C$54,E$32)+E$35)/12-IF($B56=1,E$37,0)</f>
        <v>-791.13769531249955</v>
      </c>
      <c r="F56" s="1">
        <f>ROUNDUP(B56/12,0)</f>
        <v>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>
        <v>4</v>
      </c>
      <c r="C57" s="12">
        <f>N(C56)+(IF($F57=1,C$32*Inputs!$C$54,C$32)+C$35)/12-IF($B57=1,C$37,0)</f>
        <v>-5585.7161458333321</v>
      </c>
      <c r="D57" s="12">
        <f>N(D56)+(IF($F57=1,D$32*Inputs!$C$54,D$32)+D$35)/12-IF($B57=1,D$37,0)</f>
        <v>-2318.8802083333339</v>
      </c>
      <c r="E57" s="12">
        <f>N(E56)+(IF($F57=1,E$32*Inputs!$C$54,E$32)+E$35)/12-IF($B57=1,E$37,0)</f>
        <v>403.4830729166672</v>
      </c>
      <c r="F57" s="1">
        <f>ROUNDUP(B57/12,0)</f>
        <v>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>
        <v>5</v>
      </c>
      <c r="C58" s="12">
        <f>N(C57)+(IF($F58=1,C$32*Inputs!$C$54,C$32)+C$35)/12-IF($B58=1,C$37,0)</f>
        <v>-5888.3951822916652</v>
      </c>
      <c r="D58" s="12">
        <f>N(D57)+(IF($F58=1,D$32*Inputs!$C$54,D$32)+D$35)/12-IF($B58=1,D$37,0)</f>
        <v>-1804.8502604166674</v>
      </c>
      <c r="E58" s="12">
        <f>N(E57)+(IF($F58=1,E$32*Inputs!$C$54,E$32)+E$35)/12-IF($B58=1,E$37,0)</f>
        <v>1598.1038411458339</v>
      </c>
      <c r="F58" s="1">
        <f>ROUNDUP(B58/12,0)</f>
        <v>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>
        <v>6</v>
      </c>
      <c r="C59" s="12">
        <f>N(C58)+(IF($F59=1,C$32*Inputs!$C$54,C$32)+C$35)/12-IF($B59=1,C$37,0)</f>
        <v>-6191.0742187499982</v>
      </c>
      <c r="D59" s="12">
        <f>N(D58)+(IF($F59=1,D$32*Inputs!$C$54,D$32)+D$35)/12-IF($B59=1,D$37,0)</f>
        <v>-1290.8203125000009</v>
      </c>
      <c r="E59" s="12">
        <f>N(E58)+(IF($F59=1,E$32*Inputs!$C$54,E$32)+E$35)/12-IF($B59=1,E$37,0)</f>
        <v>2792.7246093750009</v>
      </c>
      <c r="F59" s="1">
        <f>ROUNDUP(B59/12,0)</f>
        <v>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>
        <v>7</v>
      </c>
      <c r="C60" s="12">
        <f>N(C59)+(IF($F60=1,C$32*Inputs!$C$54,C$32)+C$35)/12-IF($B60=1,C$37,0)</f>
        <v>-6493.7532552083312</v>
      </c>
      <c r="D60" s="12">
        <f>N(D59)+(IF($F60=1,D$32*Inputs!$C$54,D$32)+D$35)/12-IF($B60=1,D$37,0)</f>
        <v>-776.79036458333428</v>
      </c>
      <c r="E60" s="12">
        <f>N(E59)+(IF($F60=1,E$32*Inputs!$C$54,E$32)+E$35)/12-IF($B60=1,E$37,0)</f>
        <v>3987.3453776041679</v>
      </c>
      <c r="F60" s="1">
        <f>ROUNDUP(B60/12,0)</f>
        <v>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>
        <v>8</v>
      </c>
      <c r="C61" s="12">
        <f>N(C60)+(IF($F61=1,C$32*Inputs!$C$54,C$32)+C$35)/12-IF($B61=1,C$37,0)</f>
        <v>-6796.4322916666642</v>
      </c>
      <c r="D61" s="12">
        <f>N(D60)+(IF($F61=1,D$32*Inputs!$C$54,D$32)+D$35)/12-IF($B61=1,D$37,0)</f>
        <v>-262.76041666666765</v>
      </c>
      <c r="E61" s="12">
        <f>N(E60)+(IF($F61=1,E$32*Inputs!$C$54,E$32)+E$35)/12-IF($B61=1,E$37,0)</f>
        <v>5181.9661458333348</v>
      </c>
      <c r="F61" s="1">
        <f>ROUNDUP(B61/12,0)</f>
        <v>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>
        <v>9</v>
      </c>
      <c r="C62" s="12">
        <f>N(C61)+(IF($F62=1,C$32*Inputs!$C$54,C$32)+C$35)/12-IF($B62=1,C$37,0)</f>
        <v>-7099.1113281249973</v>
      </c>
      <c r="D62" s="12">
        <f>N(D61)+(IF($F62=1,D$32*Inputs!$C$54,D$32)+D$35)/12-IF($B62=1,D$37,0)</f>
        <v>251.26953124999898</v>
      </c>
      <c r="E62" s="12">
        <f>N(E61)+(IF($F62=1,E$32*Inputs!$C$54,E$32)+E$35)/12-IF($B62=1,E$37,0)</f>
        <v>6376.5869140625018</v>
      </c>
      <c r="F62" s="1">
        <f>ROUNDUP(B62/12,0)</f>
        <v>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>
        <v>10</v>
      </c>
      <c r="C63" s="12">
        <f>N(C62)+(IF($F63=1,C$32*Inputs!$C$54,C$32)+C$35)/12-IF($B63=1,C$37,0)</f>
        <v>-7401.7903645833303</v>
      </c>
      <c r="D63" s="12">
        <f>N(D62)+(IF($F63=1,D$32*Inputs!$C$54,D$32)+D$35)/12-IF($B63=1,D$37,0)</f>
        <v>765.29947916666561</v>
      </c>
      <c r="E63" s="12">
        <f>N(E62)+(IF($F63=1,E$32*Inputs!$C$54,E$32)+E$35)/12-IF($B63=1,E$37,0)</f>
        <v>7571.2076822916688</v>
      </c>
      <c r="F63" s="1">
        <f>ROUNDUP(B63/12,0)</f>
        <v>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>
        <v>11</v>
      </c>
      <c r="C64" s="12">
        <f>N(C63)+(IF($F64=1,C$32*Inputs!$C$54,C$32)+C$35)/12-IF($B64=1,C$37,0)</f>
        <v>-7704.4694010416633</v>
      </c>
      <c r="D64" s="12">
        <f>N(D63)+(IF($F64=1,D$32*Inputs!$C$54,D$32)+D$35)/12-IF($B64=1,D$37,0)</f>
        <v>1279.3294270833321</v>
      </c>
      <c r="E64" s="12">
        <f>N(E63)+(IF($F64=1,E$32*Inputs!$C$54,E$32)+E$35)/12-IF($B64=1,E$37,0)</f>
        <v>8765.8284505208358</v>
      </c>
      <c r="F64" s="1">
        <f>ROUNDUP(B64/12,0)</f>
        <v>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>
        <v>12</v>
      </c>
      <c r="C65" s="12">
        <f>N(C64)+(IF($F65=1,C$32*Inputs!$C$54,C$32)+C$35)/12-IF($B65=1,C$37,0)</f>
        <v>-8007.1484374999964</v>
      </c>
      <c r="D65" s="12">
        <f>N(D64)+(IF($F65=1,D$32*Inputs!$C$54,D$32)+D$35)/12-IF($B65=1,D$37,0)</f>
        <v>1793.3593749999986</v>
      </c>
      <c r="E65" s="12">
        <f>N(E64)+(IF($F65=1,E$32*Inputs!$C$54,E$32)+E$35)/12-IF($B65=1,E$37,0)</f>
        <v>9960.4492187500018</v>
      </c>
      <c r="F65" s="1">
        <f>ROUNDUP(B65/12,0)</f>
        <v>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>
        <v>13</v>
      </c>
      <c r="C66" s="12">
        <f>N(C65)+(IF($F66=1,C$32*Inputs!$C$54,C$32)+C$35)/12-IF($B66=1,C$37,0)</f>
        <v>-7039.3912760416633</v>
      </c>
      <c r="D66" s="12">
        <f>N(D65)+(IF($F66=1,D$32*Inputs!$C$54,D$32)+D$35)/12-IF($B66=1,D$37,0)</f>
        <v>4122.2981770833321</v>
      </c>
      <c r="E66" s="12">
        <f>N(E65)+(IF($F66=1,E$32*Inputs!$C$54,E$32)+E$35)/12-IF($B66=1,E$37,0)</f>
        <v>13423.706054687502</v>
      </c>
      <c r="F66" s="1">
        <f>ROUNDUP(B66/12,0)</f>
        <v>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>
        <v>14</v>
      </c>
      <c r="C67" s="12">
        <f>N(C66)+(IF($F67=1,C$32*Inputs!$C$54,C$32)+C$35)/12-IF($B67=1,C$37,0)</f>
        <v>-6071.6341145833303</v>
      </c>
      <c r="D67" s="12">
        <f>N(D66)+(IF($F67=1,D$32*Inputs!$C$54,D$32)+D$35)/12-IF($B67=1,D$37,0)</f>
        <v>6451.2369791666661</v>
      </c>
      <c r="E67" s="12">
        <f>N(E66)+(IF($F67=1,E$32*Inputs!$C$54,E$32)+E$35)/12-IF($B67=1,E$37,0)</f>
        <v>16886.962890625</v>
      </c>
      <c r="F67" s="1">
        <f>ROUNDUP(B67/12,0)</f>
        <v>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>
        <v>15</v>
      </c>
      <c r="C68" s="12">
        <f>N(C67)+(IF($F68=1,C$32*Inputs!$C$54,C$32)+C$35)/12-IF($B68=1,C$37,0)</f>
        <v>-5103.8769531249973</v>
      </c>
      <c r="D68" s="12">
        <f>N(D67)+(IF($F68=1,D$32*Inputs!$C$54,D$32)+D$35)/12-IF($B68=1,D$37,0)</f>
        <v>8780.17578125</v>
      </c>
      <c r="E68" s="12">
        <f>N(E67)+(IF($F68=1,E$32*Inputs!$C$54,E$32)+E$35)/12-IF($B68=1,E$37,0)</f>
        <v>20350.2197265625</v>
      </c>
      <c r="F68" s="1">
        <f>ROUNDUP(B68/12,0)</f>
        <v>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>
        <v>16</v>
      </c>
      <c r="C69" s="12">
        <f>N(C68)+(IF($F69=1,C$32*Inputs!$C$54,C$32)+C$35)/12-IF($B69=1,C$37,0)</f>
        <v>-4136.1197916666642</v>
      </c>
      <c r="D69" s="12">
        <f>N(D68)+(IF($F69=1,D$32*Inputs!$C$54,D$32)+D$35)/12-IF($B69=1,D$37,0)</f>
        <v>11109.114583333334</v>
      </c>
      <c r="E69" s="12">
        <f>N(E68)+(IF($F69=1,E$32*Inputs!$C$54,E$32)+E$35)/12-IF($B69=1,E$37,0)</f>
        <v>23813.4765625</v>
      </c>
      <c r="F69" s="1">
        <f>ROUNDUP(B69/12,0)</f>
        <v>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>
        <v>17</v>
      </c>
      <c r="C70" s="12">
        <f>N(C69)+(IF($F70=1,C$32*Inputs!$C$54,C$32)+C$35)/12-IF($B70=1,C$37,0)</f>
        <v>-3168.3626302083308</v>
      </c>
      <c r="D70" s="12">
        <f>N(D69)+(IF($F70=1,D$32*Inputs!$C$54,D$32)+D$35)/12-IF($B70=1,D$37,0)</f>
        <v>13438.053385416668</v>
      </c>
      <c r="E70" s="12">
        <f>N(E69)+(IF($F70=1,E$32*Inputs!$C$54,E$32)+E$35)/12-IF($B70=1,E$37,0)</f>
        <v>27276.7333984375</v>
      </c>
      <c r="F70" s="1">
        <f>ROUNDUP(B70/12,0)</f>
        <v>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>
        <v>18</v>
      </c>
      <c r="C71" s="12">
        <f>N(C70)+(IF($F71=1,C$32*Inputs!$C$54,C$32)+C$35)/12-IF($B71=1,C$37,0)</f>
        <v>-2200.6054687499973</v>
      </c>
      <c r="D71" s="12">
        <f>N(D70)+(IF($F71=1,D$32*Inputs!$C$54,D$32)+D$35)/12-IF($B71=1,D$37,0)</f>
        <v>15766.992187500002</v>
      </c>
      <c r="E71" s="12">
        <f>N(E70)+(IF($F71=1,E$32*Inputs!$C$54,E$32)+E$35)/12-IF($B71=1,E$37,0)</f>
        <v>30739.990234375</v>
      </c>
      <c r="F71" s="1">
        <f>ROUNDUP(B71/12,0)</f>
        <v>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>
        <v>19</v>
      </c>
      <c r="C72" s="12">
        <f>N(C71)+(IF($F72=1,C$32*Inputs!$C$54,C$32)+C$35)/12-IF($B72=1,C$37,0)</f>
        <v>-1232.8483072916638</v>
      </c>
      <c r="D72" s="12">
        <f>N(D71)+(IF($F72=1,D$32*Inputs!$C$54,D$32)+D$35)/12-IF($B72=1,D$37,0)</f>
        <v>18095.930989583336</v>
      </c>
      <c r="E72" s="12">
        <f>N(E71)+(IF($F72=1,E$32*Inputs!$C$54,E$32)+E$35)/12-IF($B72=1,E$37,0)</f>
        <v>34203.2470703125</v>
      </c>
      <c r="F72" s="1">
        <f>ROUNDUP(B72/12,0)</f>
        <v>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>
        <v>20</v>
      </c>
      <c r="C73" s="12">
        <f>N(C72)+(IF($F73=1,C$32*Inputs!$C$54,C$32)+C$35)/12-IF($B73=1,C$37,0)</f>
        <v>-265.09114583333042</v>
      </c>
      <c r="D73" s="12">
        <f>N(D72)+(IF($F73=1,D$32*Inputs!$C$54,D$32)+D$35)/12-IF($B73=1,D$37,0)</f>
        <v>20424.869791666668</v>
      </c>
      <c r="E73" s="12">
        <f>N(E72)+(IF($F73=1,E$32*Inputs!$C$54,E$32)+E$35)/12-IF($B73=1,E$37,0)</f>
        <v>37666.50390625</v>
      </c>
      <c r="F73" s="1">
        <f>ROUNDUP(B73/12,0)</f>
        <v>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>
        <v>21</v>
      </c>
      <c r="C74" s="12">
        <f>N(C73)+(IF($F74=1,C$32*Inputs!$C$54,C$32)+C$35)/12-IF($B74=1,C$37,0)</f>
        <v>702.66601562500296</v>
      </c>
      <c r="D74" s="12">
        <f>N(D73)+(IF($F74=1,D$32*Inputs!$C$54,D$32)+D$35)/12-IF($B74=1,D$37,0)</f>
        <v>22753.80859375</v>
      </c>
      <c r="E74" s="12">
        <f>N(E73)+(IF($F74=1,E$32*Inputs!$C$54,E$32)+E$35)/12-IF($B74=1,E$37,0)</f>
        <v>41129.7607421875</v>
      </c>
      <c r="F74" s="1">
        <f>ROUNDUP(B74/12,0)</f>
        <v>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>
        <v>22</v>
      </c>
      <c r="C75" s="12">
        <f>N(C74)+(IF($F75=1,C$32*Inputs!$C$54,C$32)+C$35)/12-IF($B75=1,C$37,0)</f>
        <v>1670.4231770833362</v>
      </c>
      <c r="D75" s="12">
        <f>N(D74)+(IF($F75=1,D$32*Inputs!$C$54,D$32)+D$35)/12-IF($B75=1,D$37,0)</f>
        <v>25082.747395833332</v>
      </c>
      <c r="E75" s="12">
        <f>N(E74)+(IF($F75=1,E$32*Inputs!$C$54,E$32)+E$35)/12-IF($B75=1,E$37,0)</f>
        <v>44593.017578125</v>
      </c>
      <c r="F75" s="1">
        <f>ROUNDUP(B75/12,0)</f>
        <v>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>
        <v>23</v>
      </c>
      <c r="C76" s="12">
        <f>N(C75)+(IF($F76=1,C$32*Inputs!$C$54,C$32)+C$35)/12-IF($B76=1,C$37,0)</f>
        <v>2638.1803385416697</v>
      </c>
      <c r="D76" s="12">
        <f>N(D75)+(IF($F76=1,D$32*Inputs!$C$54,D$32)+D$35)/12-IF($B76=1,D$37,0)</f>
        <v>27411.686197916664</v>
      </c>
      <c r="E76" s="12">
        <f>N(E75)+(IF($F76=1,E$32*Inputs!$C$54,E$32)+E$35)/12-IF($B76=1,E$37,0)</f>
        <v>48056.2744140625</v>
      </c>
      <c r="F76" s="1">
        <f>ROUNDUP(B76/12,0)</f>
        <v>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>
        <v>24</v>
      </c>
      <c r="C77" s="12">
        <f>N(C76)+(IF($F77=1,C$32*Inputs!$C$54,C$32)+C$35)/12-IF($B77=1,C$37,0)</f>
        <v>3605.9375000000032</v>
      </c>
      <c r="D77" s="12">
        <f>N(D76)+(IF($F77=1,D$32*Inputs!$C$54,D$32)+D$35)/12-IF($B77=1,D$37,0)</f>
        <v>29740.624999999996</v>
      </c>
      <c r="E77" s="12">
        <f>N(E76)+(IF($F77=1,E$32*Inputs!$C$54,E$32)+E$35)/12-IF($B77=1,E$37,0)</f>
        <v>51519.53125</v>
      </c>
      <c r="F77" s="1">
        <f>ROUNDUP(B77/12,0)</f>
        <v>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>
        <v>25</v>
      </c>
      <c r="C78" s="12">
        <f>N(C77)+(IF($F78=1,C$32*Inputs!$C$54,C$32)+C$35)/12-IF($B78=1,C$37,0)</f>
        <v>4573.6946614583367</v>
      </c>
      <c r="D78" s="12">
        <f>N(D77)+(IF($F78=1,D$32*Inputs!$C$54,D$32)+D$35)/12-IF($B78=1,D$37,0)</f>
        <v>32069.563802083328</v>
      </c>
      <c r="E78" s="12">
        <f>N(E77)+(IF($F78=1,E$32*Inputs!$C$54,E$32)+E$35)/12-IF($B78=1,E$37,0)</f>
        <v>54982.7880859375</v>
      </c>
      <c r="F78" s="1">
        <f>ROUNDUP(B78/12,0)</f>
        <v>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>
        <v>26</v>
      </c>
      <c r="C79" s="12">
        <f>N(C78)+(IF($F79=1,C$32*Inputs!$C$54,C$32)+C$35)/12-IF($B79=1,C$37,0)</f>
        <v>5541.4518229166697</v>
      </c>
      <c r="D79" s="12">
        <f>N(D78)+(IF($F79=1,D$32*Inputs!$C$54,D$32)+D$35)/12-IF($B79=1,D$37,0)</f>
        <v>34398.502604166664</v>
      </c>
      <c r="E79" s="12">
        <f>N(E78)+(IF($F79=1,E$32*Inputs!$C$54,E$32)+E$35)/12-IF($B79=1,E$37,0)</f>
        <v>58446.044921875</v>
      </c>
      <c r="F79" s="1">
        <f>ROUNDUP(B79/12,0)</f>
        <v>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>
        <v>27</v>
      </c>
      <c r="C80" s="12">
        <f>N(C79)+(IF($F80=1,C$32*Inputs!$C$54,C$32)+C$35)/12-IF($B80=1,C$37,0)</f>
        <v>6509.2089843750027</v>
      </c>
      <c r="D80" s="12">
        <f>N(D79)+(IF($F80=1,D$32*Inputs!$C$54,D$32)+D$35)/12-IF($B80=1,D$37,0)</f>
        <v>36727.44140625</v>
      </c>
      <c r="E80" s="12">
        <f>N(E79)+(IF($F80=1,E$32*Inputs!$C$54,E$32)+E$35)/12-IF($B80=1,E$37,0)</f>
        <v>61909.3017578125</v>
      </c>
      <c r="F80" s="1">
        <f>ROUNDUP(B80/12,0)</f>
        <v>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>
        <v>28</v>
      </c>
      <c r="C81" s="12">
        <f>N(C80)+(IF($F81=1,C$32*Inputs!$C$54,C$32)+C$35)/12-IF($B81=1,C$37,0)</f>
        <v>7476.9661458333358</v>
      </c>
      <c r="D81" s="12">
        <f>N(D80)+(IF($F81=1,D$32*Inputs!$C$54,D$32)+D$35)/12-IF($B81=1,D$37,0)</f>
        <v>39056.380208333336</v>
      </c>
      <c r="E81" s="12">
        <f>N(E80)+(IF($F81=1,E$32*Inputs!$C$54,E$32)+E$35)/12-IF($B81=1,E$37,0)</f>
        <v>65372.55859375</v>
      </c>
      <c r="F81" s="1">
        <f>ROUNDUP(B81/12,0)</f>
        <v>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>
        <v>29</v>
      </c>
      <c r="C82" s="12">
        <f>N(C81)+(IF($F82=1,C$32*Inputs!$C$54,C$32)+C$35)/12-IF($B82=1,C$37,0)</f>
        <v>8444.7233072916697</v>
      </c>
      <c r="D82" s="12">
        <f>N(D81)+(IF($F82=1,D$32*Inputs!$C$54,D$32)+D$35)/12-IF($B82=1,D$37,0)</f>
        <v>41385.319010416672</v>
      </c>
      <c r="E82" s="12">
        <f>N(E81)+(IF($F82=1,E$32*Inputs!$C$54,E$32)+E$35)/12-IF($B82=1,E$37,0)</f>
        <v>68835.8154296875</v>
      </c>
      <c r="F82" s="1">
        <f>ROUNDUP(B82/12,0)</f>
        <v>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>
        <v>30</v>
      </c>
      <c r="C83" s="12">
        <f>N(C82)+(IF($F83=1,C$32*Inputs!$C$54,C$32)+C$35)/12-IF($B83=1,C$37,0)</f>
        <v>9412.4804687500036</v>
      </c>
      <c r="D83" s="12">
        <f>N(D82)+(IF($F83=1,D$32*Inputs!$C$54,D$32)+D$35)/12-IF($B83=1,D$37,0)</f>
        <v>43714.257812500007</v>
      </c>
      <c r="E83" s="12">
        <f>N(E82)+(IF($F83=1,E$32*Inputs!$C$54,E$32)+E$35)/12-IF($B83=1,E$37,0)</f>
        <v>72299.072265625</v>
      </c>
      <c r="F83" s="1">
        <f>ROUNDUP(B83/12,0)</f>
        <v>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>
        <v>31</v>
      </c>
      <c r="C84" s="12">
        <f>N(C83)+(IF($F84=1,C$32*Inputs!$C$54,C$32)+C$35)/12-IF($B84=1,C$37,0)</f>
        <v>10380.237630208338</v>
      </c>
      <c r="D84" s="12">
        <f>N(D83)+(IF($F84=1,D$32*Inputs!$C$54,D$32)+D$35)/12-IF($B84=1,D$37,0)</f>
        <v>46043.196614583343</v>
      </c>
      <c r="E84" s="12">
        <f>N(E83)+(IF($F84=1,E$32*Inputs!$C$54,E$32)+E$35)/12-IF($B84=1,E$37,0)</f>
        <v>75762.3291015625</v>
      </c>
      <c r="F84" s="1">
        <f>ROUNDUP(B84/12,0)</f>
        <v>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>
        <v>32</v>
      </c>
      <c r="C85" s="12">
        <f>N(C84)+(IF($F85=1,C$32*Inputs!$C$54,C$32)+C$35)/12-IF($B85=1,C$37,0)</f>
        <v>11347.994791666672</v>
      </c>
      <c r="D85" s="12">
        <f>N(D84)+(IF($F85=1,D$32*Inputs!$C$54,D$32)+D$35)/12-IF($B85=1,D$37,0)</f>
        <v>48372.135416666679</v>
      </c>
      <c r="E85" s="12">
        <f>N(E84)+(IF($F85=1,E$32*Inputs!$C$54,E$32)+E$35)/12-IF($B85=1,E$37,0)</f>
        <v>79225.5859375</v>
      </c>
      <c r="F85" s="1">
        <f>ROUNDUP(B85/12,0)</f>
        <v>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>
        <v>33</v>
      </c>
      <c r="C86" s="12">
        <f>N(C85)+(IF($F86=1,C$32*Inputs!$C$54,C$32)+C$35)/12-IF($B86=1,C$37,0)</f>
        <v>12315.751953125005</v>
      </c>
      <c r="D86" s="12">
        <f>N(D85)+(IF($F86=1,D$32*Inputs!$C$54,D$32)+D$35)/12-IF($B86=1,D$37,0)</f>
        <v>50701.074218750015</v>
      </c>
      <c r="E86" s="12">
        <f>N(E85)+(IF($F86=1,E$32*Inputs!$C$54,E$32)+E$35)/12-IF($B86=1,E$37,0)</f>
        <v>82688.8427734375</v>
      </c>
      <c r="F86" s="1">
        <f>ROUNDUP(B86/12,0)</f>
        <v>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>
        <v>34</v>
      </c>
      <c r="C87" s="12">
        <f>N(C86)+(IF($F87=1,C$32*Inputs!$C$54,C$32)+C$35)/12-IF($B87=1,C$37,0)</f>
        <v>13283.509114583339</v>
      </c>
      <c r="D87" s="12">
        <f>N(D86)+(IF($F87=1,D$32*Inputs!$C$54,D$32)+D$35)/12-IF($B87=1,D$37,0)</f>
        <v>53030.01302083335</v>
      </c>
      <c r="E87" s="12">
        <f>N(E86)+(IF($F87=1,E$32*Inputs!$C$54,E$32)+E$35)/12-IF($B87=1,E$37,0)</f>
        <v>86152.099609375</v>
      </c>
      <c r="F87" s="1">
        <f>ROUNDUP(B87/12,0)</f>
        <v>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>
        <v>35</v>
      </c>
      <c r="C88" s="12">
        <f>N(C87)+(IF($F88=1,C$32*Inputs!$C$54,C$32)+C$35)/12-IF($B88=1,C$37,0)</f>
        <v>14251.266276041673</v>
      </c>
      <c r="D88" s="12">
        <f>N(D87)+(IF($F88=1,D$32*Inputs!$C$54,D$32)+D$35)/12-IF($B88=1,D$37,0)</f>
        <v>55358.951822916686</v>
      </c>
      <c r="E88" s="12">
        <f>N(E87)+(IF($F88=1,E$32*Inputs!$C$54,E$32)+E$35)/12-IF($B88=1,E$37,0)</f>
        <v>89615.3564453125</v>
      </c>
      <c r="F88" s="1">
        <f>ROUNDUP(B88/12,0)</f>
        <v>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>
        <v>36</v>
      </c>
      <c r="C89" s="12">
        <f>N(C88)+(IF($F89=1,C$32*Inputs!$C$54,C$32)+C$35)/12-IF($B89=1,C$37,0)</f>
        <v>15219.023437500007</v>
      </c>
      <c r="D89" s="12">
        <f>N(D88)+(IF($F89=1,D$32*Inputs!$C$54,D$32)+D$35)/12-IF($B89=1,D$37,0)</f>
        <v>57687.890625000022</v>
      </c>
      <c r="E89" s="12">
        <f>N(E88)+(IF($F89=1,E$32*Inputs!$C$54,E$32)+E$35)/12-IF($B89=1,E$37,0)</f>
        <v>93078.61328125</v>
      </c>
      <c r="F89" s="1">
        <f>ROUNDUP(B89/12,0)</f>
        <v>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18" t="s">
        <v>68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8" t="s">
        <v>318</v>
      </c>
      <c r="C93" s="8" t="s">
        <v>319</v>
      </c>
      <c r="D93" s="8" t="s">
        <v>320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 t="s">
        <v>321</v>
      </c>
      <c r="C94" s="12">
        <f>Results!E20</f>
        <v>141562.890625</v>
      </c>
      <c r="D94" s="12"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 t="s">
        <v>322</v>
      </c>
      <c r="C95" s="12">
        <f>Results!E21</f>
        <v>37500</v>
      </c>
      <c r="D95" s="12"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 t="s">
        <v>323</v>
      </c>
      <c r="C96" s="12">
        <v>0</v>
      </c>
      <c r="D96" s="12">
        <f>-(Results!E22+Results!E23)</f>
        <v>121375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8" t="s">
        <v>72</v>
      </c>
      <c r="C98" s="8" t="s">
        <v>73</v>
      </c>
      <c r="D98" s="8" t="s">
        <v>74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 t="str">
        <f>Activities!C7</f>
        <v>Data requesting &amp; import</v>
      </c>
      <c r="C99" s="93">
        <f>Activities!N7</f>
        <v>280</v>
      </c>
      <c r="D99" s="93">
        <f>Activities!S7</f>
        <v>125.99999999999999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 t="str">
        <f>Activities!C8</f>
        <v>Providing data (contributors' own time)</v>
      </c>
      <c r="C100" s="93">
        <f>Activities!N8</f>
        <v>300</v>
      </c>
      <c r="D100" s="93">
        <f>Activities!S8</f>
        <v>165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 t="str">
        <f>Activities!C9</f>
        <v>Data preparation &amp; mapping</v>
      </c>
      <c r="C101" s="93">
        <f>Activities!N9</f>
        <v>220</v>
      </c>
      <c r="D101" s="93">
        <f>Activities!S9</f>
        <v>77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 t="str">
        <f>Activities!C10</f>
        <v>Emission factor research &amp; maintenance</v>
      </c>
      <c r="C102" s="93">
        <f>Activities!N10</f>
        <v>60</v>
      </c>
      <c r="D102" s="93">
        <f>Activities!S10</f>
        <v>15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 t="str">
        <f>Activities!C11</f>
        <v>Calculations &amp; consolidation</v>
      </c>
      <c r="C103" s="93">
        <f>Activities!N11</f>
        <v>100</v>
      </c>
      <c r="D103" s="93">
        <f>Activities!S11</f>
        <v>25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 t="str">
        <f>Activities!C12</f>
        <v>Data validation &amp; correction cycles</v>
      </c>
      <c r="C104" s="93">
        <f>Activities!N12</f>
        <v>180</v>
      </c>
      <c r="D104" s="93">
        <f>Activities!S12</f>
        <v>99.000000000000014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 t="str">
        <f>Activities!C13</f>
        <v>Task coordination &amp; chasing contributors</v>
      </c>
      <c r="C105" s="93">
        <f>Activities!N13</f>
        <v>95</v>
      </c>
      <c r="D105" s="93">
        <f>Activities!S13</f>
        <v>38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 t="str">
        <f>Activities!C14</f>
        <v>Regulatory requirements &amp; gap analysis</v>
      </c>
      <c r="C106" s="93">
        <f>Activities!N14</f>
        <v>110</v>
      </c>
      <c r="D106" s="93">
        <f>Activities!S14</f>
        <v>71.5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 t="str">
        <f>Activities!C15</f>
        <v>Narrative drafting</v>
      </c>
      <c r="C107" s="93">
        <f>Activities!N15</f>
        <v>120</v>
      </c>
      <c r="D107" s="93">
        <f>Activities!S15</f>
        <v>66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 t="str">
        <f>Activities!C16</f>
        <v>Report creation &amp; formatting</v>
      </c>
      <c r="C108" s="93">
        <f>Activities!N16</f>
        <v>95</v>
      </c>
      <c r="D108" s="93">
        <f>Activities!S16</f>
        <v>33.25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 t="str">
        <f>Activities!C17</f>
        <v>Dashboard &amp; management updates</v>
      </c>
      <c r="C109" s="93">
        <f>Activities!N17</f>
        <v>40</v>
      </c>
      <c r="D109" s="93">
        <f>Activities!S17</f>
        <v>12.000000000000002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 t="str">
        <f>Activities!C18</f>
        <v>Evidence &amp; assurance preparation</v>
      </c>
      <c r="C110" s="93">
        <f>Activities!N18</f>
        <v>80</v>
      </c>
      <c r="D110" s="93">
        <f>Activities!S18</f>
        <v>44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 t="str">
        <f>Activities!C19</f>
        <v>Management review &amp; approvals</v>
      </c>
      <c r="C111" s="93">
        <f>Activities!N19</f>
        <v>40</v>
      </c>
      <c r="D111" s="93">
        <f>Activities!S19</f>
        <v>32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 t="str">
        <f>Activities!C20</f>
        <v>Customer &amp; supplier questionnaires</v>
      </c>
      <c r="C112" s="93">
        <f>Activities!N20</f>
        <v>80</v>
      </c>
      <c r="D112" s="93">
        <f>Activities!S20</f>
        <v>40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 t="str">
        <f>Activities!C21</f>
        <v>Supplier data requests</v>
      </c>
      <c r="C113" s="93">
        <f>Activities!N21</f>
        <v>50</v>
      </c>
      <c r="D113" s="93">
        <f>Activities!S21</f>
        <v>25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 t="str">
        <f>Activities!C22</f>
        <v>Product carbon footprints (PCF)</v>
      </c>
      <c r="C114" s="93">
        <f>Activities!N22</f>
        <v>0</v>
      </c>
      <c r="D114" s="93">
        <f>Activities!S22</f>
        <v>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 t="str">
        <f>Activities!C23</f>
        <v>Decarbonization planning</v>
      </c>
      <c r="C115" s="93">
        <f>Activities!N23</f>
        <v>40</v>
      </c>
      <c r="D115" s="93">
        <f>Activities!S23</f>
        <v>26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 t="str">
        <f>Activities!C24</f>
        <v>Knowledge continuity &amp; handovers</v>
      </c>
      <c r="C116" s="93">
        <f>Activities!N24</f>
        <v>40</v>
      </c>
      <c r="D116" s="93">
        <f>Activities!S24</f>
        <v>20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D4F60F8ED50046865B3C30F6509B94" ma:contentTypeVersion="4" ma:contentTypeDescription="Create a new document." ma:contentTypeScope="" ma:versionID="7a2db3f5e2570b56031cc3e2d83d3a03">
  <xsd:schema xmlns:xsd="http://www.w3.org/2001/XMLSchema" xmlns:xs="http://www.w3.org/2001/XMLSchema" xmlns:p="http://schemas.microsoft.com/office/2006/metadata/properties" xmlns:ns2="f99c121d-2e3a-4a5e-a628-04631d38a7c4" targetNamespace="http://schemas.microsoft.com/office/2006/metadata/properties" ma:root="true" ma:fieldsID="3a098e1e288b6b49994d17523be13434" ns2:_="">
    <xsd:import namespace="f99c121d-2e3a-4a5e-a628-04631d38a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c121d-2e3a-4a5e-a628-04631d38a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490526-D574-455B-96F1-2C660E69E4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8042D8-CD3A-4BA2-85BF-A3C3A0BB50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9c121d-2e3a-4a5e-a628-04631d38a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AF1419-FF82-4C8C-9814-C71860CC4720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f99c121d-2e3a-4a5e-a628-04631d38a7c4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</vt:lpstr>
      <vt:lpstr>Inputs</vt:lpstr>
      <vt:lpstr>Activities</vt:lpstr>
      <vt:lpstr>Results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Scholz</dc:creator>
  <cp:keywords/>
  <dc:description/>
  <cp:lastModifiedBy>Footprint Intelligence</cp:lastModifiedBy>
  <cp:revision/>
  <dcterms:created xsi:type="dcterms:W3CDTF">2025-02-25T14:34:32Z</dcterms:created>
  <dcterms:modified xsi:type="dcterms:W3CDTF">2026-10-18T15:56:16Z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0x010100D2D4F60F8ED50046865B3C30F6509B94</vt:lpwstr>
  </property>
</Properties>
</file>